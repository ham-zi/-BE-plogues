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ec4e6ba80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안내" sheetId="1" r:id="Rf0523b5940ad4ad1"/>
    <x:sheet xmlns:r="http://schemas.openxmlformats.org/officeDocument/2006/relationships" name="01_테스트개요" sheetId="2" r:id="R866cd3e355ba4546"/>
    <x:sheet xmlns:r="http://schemas.openxmlformats.org/officeDocument/2006/relationships" name="02_테스트케이스" sheetId="3" r:id="R29e2669bc21849a8"/>
    <x:sheet xmlns:r="http://schemas.openxmlformats.org/officeDocument/2006/relationships" name="03_결함목록" sheetId="4" r:id="R8ffe96d3839b4e06"/>
    <x:sheet xmlns:r="http://schemas.openxmlformats.org/officeDocument/2006/relationships" name="04_재테스트" sheetId="5" r:id="Re330930d15374a5e"/>
    <x:sheet xmlns:r="http://schemas.openxmlformats.org/officeDocument/2006/relationships" name="05_요약통계" sheetId="6" r:id="R9d17b22796a44dd6"/>
    <x:sheet xmlns:r="http://schemas.openxmlformats.org/officeDocument/2006/relationships" name="06_테스트데이터" sheetId="7" r:id="R16a6f85f939e4276"/>
    <x:sheet xmlns:r="http://schemas.openxmlformats.org/officeDocument/2006/relationships" name="07_코드점검후보" sheetId="8" r:id="Rbac3608cb881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233443"/>
      <x:name val="Carlito"/>
    </x:font>
    <x:font>
      <x:b/>
      <x:sz val="10"/>
      <x:color rgb="FFFFFFFF"/>
      <x:name val="Carlito"/>
    </x:font>
    <x:font>
      <x:sz val="9"/>
      <x:color rgb="FF444444"/>
      <x:name val="Carlito"/>
    </x:font>
    <x:font>
      <x:b/>
      <x:sz val="11"/>
      <x:color rgb="FF233443"/>
      <x:name val="Carlito"/>
    </x:font>
    <x:font>
      <x:b/>
      <x:sz val="13"/>
      <x:color rgb="FF23344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4908B"/>
      </x:patternFill>
    </x:fill>
    <x:fill>
      <x:patternFill patternType="solid">
        <x:fgColor rgb="FFF4FAF8"/>
      </x:patternFill>
    </x:fill>
    <x:fill>
      <x:patternFill patternType="solid">
        <x:fgColor rgb="FF6FBEB2"/>
      </x:patternFill>
    </x:fill>
    <x:fill>
      <x:patternFill patternType="solid">
        <x:fgColor rgb="FFA5E9DD"/>
      </x:patternFill>
    </x:fill>
    <x:fill>
      <x:patternFill patternType="solid">
        <x:fgColor rgb="FFFFF8D9"/>
      </x:patternFill>
    </x:fill>
    <x:fill>
      <x:patternFill patternType="solid">
        <x:fgColor rgb="FFFFFDF2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200" fontId="4" fillId="7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1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201" fontId="6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4B7E41"/>
      </x:font>
      <x:fill>
        <x:patternFill patternType="solid">
          <x:bgColor rgb="FFEAF7EE"/>
        </x:patternFill>
      </x:fill>
    </x:dxf>
    <x:dxf>
      <x:font>
        <x:b/>
        <x:color rgb="FFDB686B"/>
      </x:font>
      <x:fill>
        <x:patternFill patternType="solid">
          <x:bgColor rgb="FFFDECEC"/>
        </x:patternFill>
      </x:fill>
    </x:dxf>
    <x:dxf>
      <x:font>
        <x:b/>
        <x:color rgb="FF8A6D1D"/>
      </x:font>
      <x:fill>
        <x:patternFill patternType="solid">
          <x:bgColor rgb="FFFFF8D9"/>
        </x:patternFill>
      </x:fill>
    </x:dxf>
    <x:dxf>
      <x:font>
        <x:b/>
        <x:color rgb="FFA52A2A"/>
      </x:font>
      <x:fill>
        <x:patternFill patternType="solid">
          <x:bgColor rgb="FFFFF0F0"/>
        </x:patternFill>
      </x:fill>
    </x:dxf>
    <x:dxf>
      <x:font>
        <x:b/>
        <x:color rgb="FFDB686B"/>
      </x:font>
      <x:fill>
        <x:patternFill patternType="solid">
          <x:bgColor rgb="FFFDECEC"/>
        </x:patternFill>
      </x:fill>
    </x:dxf>
    <x:dxf>
      <x:font>
        <x:b/>
        <x:color rgb="FF8A6D1D"/>
      </x:font>
      <x:fill>
        <x:patternFill patternType="solid">
          <x:bgColor rgb="FFFFF8D9"/>
        </x:patternFill>
      </x:fill>
    </x:dxf>
    <x:dxf>
      <x:font>
        <x:b/>
        <x:color rgb="FF4B7E41"/>
      </x:font>
      <x:fill>
        <x:patternFill patternType="solid">
          <x:bgColor rgb="FFEAF7EE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A52A2A"/>
      </x:font>
      <x:fill>
        <x:patternFill patternType="solid">
          <x:bgColor rgb="FFFDECEC"/>
        </x:patternFill>
      </x:fill>
    </x:dxf>
    <x:dxf>
      <x:font>
        <x:b/>
        <x:color rgb="FF4B7E41"/>
      </x:font>
      <x:fill>
        <x:patternFill patternType="solid">
          <x:bgColor rgb="FFEAF7EE"/>
        </x:patternFill>
      </x:fill>
    </x:dxf>
    <x:dxf>
      <x:font>
        <x:b/>
        <x:color rgb="FFDB686B"/>
      </x:font>
      <x:fill>
        <x:patternFill patternType="solid">
          <x:bgColor rgb="FFFDECEC"/>
        </x:patternFill>
      </x:fill>
    </x:dxf>
    <x:dxf>
      <x:font>
        <x:b/>
        <x:color rgb="FFDB686B"/>
      </x:font>
      <x:fill>
        <x:patternFill patternType="solid">
          <x:bgColor rgb="FFFDECEC"/>
        </x:patternFill>
      </x:fill>
    </x:dxf>
    <x:dxf>
      <x:font>
        <x:b/>
        <x:color rgb="FF4B7E41"/>
      </x:font>
      <x:fill>
        <x:patternFill patternType="solid">
          <x:bgColor rgb="FFEAF7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267eac4254793" /><Relationship Type="http://schemas.openxmlformats.org/officeDocument/2006/relationships/theme" Target="/xl/theme/theme1.xml" Id="Rd6e33fbabe6f4d71" /><Relationship Type="http://schemas.openxmlformats.org/officeDocument/2006/relationships/sharedStrings" Target="/xl/sharedStrings.xml" Id="R31d9eeb93acd4a05" /><Relationship Type="http://schemas.openxmlformats.org/officeDocument/2006/relationships/worksheet" Target="/xl/worksheets/sheet1.xml" Id="Rf0523b5940ad4ad1" /><Relationship Type="http://schemas.openxmlformats.org/officeDocument/2006/relationships/worksheet" Target="/xl/worksheets/sheet2.xml" Id="R866cd3e355ba4546" /><Relationship Type="http://schemas.openxmlformats.org/officeDocument/2006/relationships/worksheet" Target="/xl/worksheets/sheet3.xml" Id="R29e2669bc21849a8" /><Relationship Type="http://schemas.openxmlformats.org/officeDocument/2006/relationships/worksheet" Target="/xl/worksheets/sheet4.xml" Id="R8ffe96d3839b4e06" /><Relationship Type="http://schemas.openxmlformats.org/officeDocument/2006/relationships/worksheet" Target="/xl/worksheets/sheet5.xml" Id="Re330930d15374a5e" /><Relationship Type="http://schemas.openxmlformats.org/officeDocument/2006/relationships/worksheet" Target="/xl/worksheets/sheet6.xml" Id="R9d17b22796a44dd6" /><Relationship Type="http://schemas.openxmlformats.org/officeDocument/2006/relationships/worksheet" Target="/xl/worksheets/sheet7.xml" Id="R16a6f85f939e4276" /><Relationship Type="http://schemas.openxmlformats.org/officeDocument/2006/relationships/worksheet" Target="/xl/worksheets/sheet8.xml" Id="Rbac3608cb88140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699989e05d45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테스트 실행 결과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cat>
            <c:strRef>
              <c:f>'05_요약통계'!$A$12:$A$14</c:f>
              <c:strCache>
                <c:ptCount val="0"/>
              </c:strCache>
            </c:strRef>
          </c:cat>
          <c:val>
            <c:numRef>
              <c:f>'05_요약통계'!$B$12:$B$14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699989e05d45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3:N176" headerRowCount="1">
  <x:tableColumns count="14">
    <x:tableColumn id="1" name="TC-ID"/>
    <x:tableColumn id="2" name="대분류"/>
    <x:tableColumn id="3" name="기능"/>
    <x:tableColumn id="4" name="유형"/>
    <x:tableColumn id="5" name="우선순위"/>
    <x:tableColumn id="6" name="API / 화면"/>
    <x:tableColumn id="7" name="시나리오"/>
    <x:tableColumn id="8" name="사전조건"/>
    <x:tableColumn id="9" name="입력·절차"/>
    <x:tableColumn id="10" name="기대 결과"/>
    <x:tableColumn id="11" name="실제 결과"/>
    <x:tableColumn id="12" name="P/F"/>
    <x:tableColumn id="13" name="결함 ID"/>
    <x:tableColumn id="14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BugsTable" displayName="BugsTable" ref="A3:L53" headerRowCount="1">
  <x:tableColumns count="12">
    <x:tableColumn id="1" name="BUG-ID"/>
    <x:tableColumn id="2" name="관련 TC"/>
    <x:tableColumn id="3" name="심각도"/>
    <x:tableColumn id="4" name="재현 절차"/>
    <x:tableColumn id="5" name="기대 결과"/>
    <x:tableColumn id="6" name="실제 결과"/>
    <x:tableColumn id="7" name="상태"/>
    <x:tableColumn id="8" name="담당자"/>
    <x:tableColumn id="9" name="이슈 #"/>
    <x:tableColumn id="10" name="발견일"/>
    <x:tableColumn id="11" name="수정일"/>
    <x:tableColumn id="12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RetestTable" displayName="RetestTable" ref="A3:I53" headerRowCount="1">
  <x:tableColumns count="9">
    <x:tableColumn id="1" name="재테스트 ID"/>
    <x:tableColumn id="2" name="BUG-ID"/>
    <x:tableColumn id="3" name="재테스트 TC"/>
    <x:tableColumn id="4" name="수정 버전/커밋"/>
    <x:tableColumn id="5" name="재테스트 절차"/>
    <x:tableColumn id="6" name="재테스트 결과"/>
    <x:tableColumn id="7" name="확인자"/>
    <x:tableColumn id="8" name="확인일"/>
    <x:tableColumn id="9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TestDataTable" displayName="TestDataTable" ref="A3:G27" headerRowCount="1">
  <x:tableColumns count="7">
    <x:tableColumn id="1" name="구분"/>
    <x:tableColumn id="2" name="데이터명"/>
    <x:tableColumn id="3" name="용도"/>
    <x:tableColumn id="4" name="예시/권장값"/>
    <x:tableColumn id="5" name="실제 값"/>
    <x:tableColumn id="6" name="준비 조건"/>
    <x:tableColumn id="7" name="비고"/>
  </x:tableColumns>
  <x:tableStyleInfo name="TableStyleMedium2" showRowStripes="1"/>
</x:table>
</file>

<file path=xl/tables/table5.xml><?xml version="1.0" encoding="utf-8"?>
<x:table xmlns:x="http://schemas.openxmlformats.org/spreadsheetml/2006/main" id="5" name="RiskCandidatesTable" displayName="RiskCandidatesTable" ref="A3:H23" headerRowCount="1">
  <x:tableColumns count="8">
    <x:tableColumn id="1" name="RISK-ID"/>
    <x:tableColumn id="2" name="관련 TC"/>
    <x:tableColumn id="3" name="예상 심각도"/>
    <x:tableColumn id="4" name="영역"/>
    <x:tableColumn id="5" name="코드 경로"/>
    <x:tableColumn id="6" name="정적 점검 내용"/>
    <x:tableColumn id="7" name="확인 방법"/>
    <x:tableColumn id="8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4381dee656e47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42cc6c4d29348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c3de42bffb149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ac6e5a6114644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652ac9351aa4a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2d48defa041471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44" hidden="0" customWidth="1"/>
    <x:col min="5" max="5" width="28" hidden="0" customWidth="1"/>
    <x:col min="6" max="6" width="3" hidden="0" customWidth="1"/>
    <x:col min="7" max="7" width="3" hidden="0" customWidth="1"/>
    <x:col min="8" max="8" width="3" hidden="0" customWidth="1"/>
  </x:cols>
  <x:sheetData>
    <x:row r="1" ht="34" customHeight="1">
      <x:c r="A1" s="5" t="str">
        <x:v>Plogues QA / 테스트 보고서 사용안내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백엔드 소스(main, 359a4aa8b6a619fd40779049a6421580c2104163)를 기준으로 만든 실행용 테스트 문서입니다. 실제 API·화면·DB를 실행한 결과는 아직 반영하지 않았으므로 실제 결과와 P/F를 직접 기록하세요.</x:v>
      </x:c>
      <x:c r="B2" s="13"/>
      <x:c r="C2" s="13"/>
      <x:c r="D2" s="13"/>
      <x:c r="E2" s="13"/>
      <x:c r="F2" s="13"/>
      <x:c r="G2" s="13"/>
      <x:c r="H2" s="13"/>
    </x:row>
    <x:row r="4" ht="34" customHeight="1">
      <x:c r="A4" s="22" t="str">
        <x:v>순서</x:v>
      </x:c>
      <x:c r="B4" s="22" t="str">
        <x:v>작업</x:v>
      </x:c>
      <x:c r="C4" s="22" t="str">
        <x:v>기록 위치</x:v>
      </x:c>
      <x:c r="D4" s="22" t="str">
        <x:v>작성 기준</x:v>
      </x:c>
      <x:c r="E4" s="22" t="str">
        <x:v>완료 조건</x:v>
      </x:c>
      <x:c r="F4" s="22" t="str"/>
      <x:c r="G4" s="22" t="str"/>
      <x:c r="H4" s="22" t="str"/>
    </x:row>
    <x:row r="5" ht="34" customHeight="1">
      <x:c r="A5" s="30" t="str">
        <x:v>1</x:v>
      </x:c>
      <x:c r="B5" s="30" t="str">
        <x:v>테스트 준비</x:v>
      </x:c>
      <x:c r="C5" s="30" t="str">
        <x:v>01_테스트개요 / 06_테스트데이터</x:v>
      </x:c>
      <x:c r="D5" s="30" t="str">
        <x:v>브랜치·커밋·계정·테스트 번호를 실제값으로 확정</x:v>
      </x:c>
      <x:c r="E5" s="30" t="str">
        <x:v>재현 가능한 사전조건 확보</x:v>
      </x:c>
      <x:c r="F5" s="30" t="str"/>
      <x:c r="G5" s="30" t="str"/>
      <x:c r="H5" s="30" t="str"/>
    </x:row>
    <x:row r="6" ht="34" customHeight="1">
      <x:c r="A6" s="30" t="str">
        <x:v>2</x:v>
      </x:c>
      <x:c r="B6" s="30" t="str">
        <x:v>테스트 실행</x:v>
      </x:c>
      <x:c r="C6" s="30" t="str">
        <x:v>02_테스트케이스</x:v>
      </x:c>
      <x:c r="D6" s="30" t="str">
        <x:v>정상·입력오류·인증/인가·소유권·경계·무결성 순으로 실행</x:v>
      </x:c>
      <x:c r="E6" s="30" t="str">
        <x:v>실제 결과와 P/F 기록</x:v>
      </x:c>
      <x:c r="F6" s="30" t="str"/>
      <x:c r="G6" s="30" t="str"/>
      <x:c r="H6" s="30" t="str"/>
    </x:row>
    <x:row r="7" ht="34" customHeight="1">
      <x:c r="A7" s="30" t="str">
        <x:v>3</x:v>
      </x:c>
      <x:c r="B7" s="30" t="str">
        <x:v>결함 등록</x:v>
      </x:c>
      <x:c r="C7" s="30" t="str">
        <x:v>03_결함목록</x:v>
      </x:c>
      <x:c r="D7" s="30" t="str">
        <x:v>Fail마다 재현 절차·기대/실제·심각도·담당 기록</x:v>
      </x:c>
      <x:c r="E7" s="30" t="str">
        <x:v>BUG-ID와 관련 TC 연결</x:v>
      </x:c>
      <x:c r="F7" s="30" t="str"/>
      <x:c r="G7" s="30" t="str"/>
      <x:c r="H7" s="30" t="str"/>
    </x:row>
    <x:row r="8" ht="34" customHeight="1">
      <x:c r="A8" s="30" t="str">
        <x:v>4</x:v>
      </x:c>
      <x:c r="B8" s="30" t="str">
        <x:v>수정 확인</x:v>
      </x:c>
      <x:c r="C8" s="30" t="str">
        <x:v>04_재테스트</x:v>
      </x:c>
      <x:c r="D8" s="30" t="str">
        <x:v>수정 커밋에서 동일 조건으로 재실행</x:v>
      </x:c>
      <x:c r="E8" s="30" t="str">
        <x:v>Pass 후 BUG 상태 Closed</x:v>
      </x:c>
      <x:c r="F8" s="30" t="str"/>
      <x:c r="G8" s="30" t="str"/>
      <x:c r="H8" s="30" t="str"/>
    </x:row>
    <x:row r="9" ht="34" customHeight="1">
      <x:c r="A9" s="30" t="str">
        <x:v>5</x:v>
      </x:c>
      <x:c r="B9" s="30" t="str">
        <x:v>보고서 마감</x:v>
      </x:c>
      <x:c r="C9" s="30" t="str">
        <x:v>05_요약통계</x:v>
      </x:c>
      <x:c r="D9" s="30" t="str">
        <x:v>수식 집계 확인 후 Known Issues와 종합 의견 작성</x:v>
      </x:c>
      <x:c r="E9" s="30" t="str">
        <x:v>배포/발표 리스크가 명시됨</x:v>
      </x:c>
      <x:c r="F9" s="30" t="str"/>
      <x:c r="G9" s="30" t="str"/>
      <x:c r="H9" s="30" t="str"/>
    </x:row>
    <x:row r="11">
      <x:c r="A11" s="22" t="str">
        <x:v>결과</x:v>
      </x:c>
      <x:c r="B11" s="22" t="str">
        <x:v>정의</x:v>
      </x:c>
      <x:c r="C11" s="22" t="str">
        <x:v>언제 기록?</x:v>
      </x:c>
      <x:c r="D11" s="22" t="str">
        <x:v>예시</x:v>
      </x:c>
    </x:row>
    <x:row r="12">
      <x:c r="A12" s="30" t="str">
        <x:v>P</x:v>
      </x:c>
      <x:c r="B12" s="30" t="str">
        <x:v>기대 결과와 실제 결과가 일치</x:v>
      </x:c>
      <x:c r="C12" s="30" t="str">
        <x:v>정상/실패 응답, DB 상태, 권한 차단까지 확인했을 때</x:v>
      </x:c>
      <x:c r="D12" s="30" t="str">
        <x:v>401만 확인하지 말고 DB 미변경도 확인</x:v>
      </x:c>
    </x:row>
    <x:row r="13">
      <x:c r="A13" s="30" t="str">
        <x:v>F</x:v>
      </x:c>
      <x:c r="B13" s="30" t="str">
        <x:v>기대 결과와 불일치</x:v>
      </x:c>
      <x:c r="C13" s="30" t="str">
        <x:v>오류 코드·메시지·데이터 상태 중 하나라도 다를 때</x:v>
      </x:c>
      <x:c r="D13" s="30" t="str">
        <x:v>타인 수정이 200이면 Fail</x:v>
      </x:c>
    </x:row>
    <x:row r="14">
      <x:c r="A14" s="30" t="str">
        <x:v>보류</x:v>
      </x:c>
      <x:c r="B14" s="30" t="str">
        <x:v>환경/데이터 문제로 실행 불가</x:v>
      </x:c>
      <x:c r="C14" s="30" t="str">
        <x:v>사유와 재실행 조건을 비고에 기록</x:v>
      </x:c>
      <x:c r="D14" s="30" t="str">
        <x:v>Oracle 접속 불가</x:v>
      </x:c>
    </x:row>
    <x:row r="15">
      <x:c r="A15" s="30" t="str">
        <x:v>미실행</x:v>
      </x:c>
      <x:c r="B15" s="30" t="str">
        <x:v>아직 수행하지 않음</x:v>
      </x:c>
      <x:c r="C15" s="30" t="str">
        <x:v>P/F를 비워 둔 상태</x:v>
      </x:c>
      <x:c r="D15" s="30" t="str">
        <x:v>테스트 시작 전</x:v>
      </x:c>
    </x:row>
    <x:row r="17" ht="28" customHeight="1">
      <x:c r="A17" s="36" t="str">
        <x:v>중요: 03_결함목록의 상태 흐름은 Open → Fixed → 재테스트 Pass → Closed 입니다. Fixed는 수정했다는 뜻이지 검증 완료가 아닙니다.</x:v>
      </x:c>
      <x:c r="B17" s="36"/>
      <x:c r="C17" s="36"/>
      <x:c r="D17" s="36"/>
      <x:c r="E17" s="36"/>
      <x:c r="F17" s="36"/>
      <x:c r="G17" s="36"/>
      <x:c r="H17" s="36"/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8" hidden="0" customWidth="1"/>
    <x:col min="5" max="5" width="48" hidden="0" customWidth="1"/>
    <x:col min="6" max="6" width="18" hidden="0" customWidth="1"/>
  </x:cols>
  <x:sheetData>
    <x:row r="1" ht="34" customHeight="1">
      <x:c r="A1" s="5" t="str">
        <x:v>1. 테스트 개요</x:v>
      </x:c>
      <x:c r="B1" s="5"/>
      <x:c r="C1" s="5"/>
      <x:c r="D1" s="5"/>
      <x:c r="E1" s="5"/>
      <x:c r="F1" s="5"/>
    </x:row>
    <x:row r="2">
      <x:c r="A2" s="13" t="str">
        <x:v>회색/노란색 셀은 실제 실행 환경에 맞게 수정하세요. 코드에서 확인된 값은 미리 입력했습니다.</x:v>
      </x:c>
      <x:c r="B2" s="13"/>
      <x:c r="C2" s="13"/>
      <x:c r="D2" s="13"/>
      <x:c r="E2" s="13"/>
      <x:c r="F2" s="13"/>
    </x:row>
    <x:row r="4">
      <x:c r="A4" s="22" t="str">
        <x:v>항목</x:v>
      </x:c>
      <x:c r="B4" s="22" t="str">
        <x:v>내용</x:v>
      </x:c>
      <x:c r="C4" s="22" t="str">
        <x:v>확인/수정</x:v>
      </x:c>
      <x:c r="D4" s="22" t="str">
        <x:v>항목</x:v>
      </x:c>
      <x:c r="E4" s="22" t="str">
        <x:v>내용</x:v>
      </x:c>
      <x:c r="F4" s="22" t="str">
        <x:v>확인/수정</x:v>
      </x:c>
    </x:row>
    <x:row r="5">
      <x:c r="A5" s="30" t="str">
        <x:v>프로젝트명</x:v>
      </x:c>
      <x:c r="B5" s="30" t="str">
        <x:v>Plogues 탄소중립 커뮤니티</x:v>
      </x:c>
      <x:c r="C5" s="40" t="str"/>
      <x:c r="D5" s="30" t="str">
        <x:v>대상 브랜치</x:v>
      </x:c>
      <x:c r="E5" s="30" t="str">
        <x:v>main</x:v>
      </x:c>
      <x:c r="F5" s="40" t="str"/>
    </x:row>
    <x:row r="6">
      <x:c r="A6" s="30" t="str">
        <x:v>테스트 기간</x:v>
      </x:c>
      <x:c r="B6" s="30" t="str">
        <x:v>2026-07-10 ~ </x:v>
      </x:c>
      <x:c r="C6" s="40" t="str"/>
      <x:c r="D6" s="30" t="str">
        <x:v>대상 커밋</x:v>
      </x:c>
      <x:c r="E6" s="30" t="str">
        <x:v>359a4aa8b6a619fd40779049a6421580c2104163</x:v>
      </x:c>
      <x:c r="F6" s="40" t="str"/>
    </x:row>
    <x:row r="7">
      <x:c r="A7" s="30" t="str">
        <x:v>테스터</x:v>
      </x:c>
      <x:c r="B7" s="30" t="str">
        <x:v>Lee DaSan</x:v>
      </x:c>
      <x:c r="C7" s="40" t="str"/>
      <x:c r="D7" s="30" t="str">
        <x:v>빌드 버전</x:v>
      </x:c>
      <x:c r="E7" s="30" t="str">
        <x:v>0.0.1-SNAPSHOT</x:v>
      </x:c>
      <x:c r="F7" s="40" t="str"/>
    </x:row>
    <x:row r="8">
      <x:c r="A8" s="30" t="str">
        <x:v>테스트 단계</x:v>
      </x:c>
      <x:c r="B8" s="30" t="str">
        <x:v>시스템/통합 테스트</x:v>
      </x:c>
      <x:c r="C8" s="40" t="str"/>
      <x:c r="D8" s="30" t="str">
        <x:v>실행 상태</x:v>
      </x:c>
      <x:c r="E8" s="30" t="str">
        <x:v>실행 전</x:v>
      </x:c>
      <x:c r="F8" s="40" t="str"/>
    </x:row>
    <x:row r="10">
      <x:c r="A10" s="22" t="str">
        <x:v>구분</x:v>
      </x:c>
      <x:c r="B10" s="22" t="str">
        <x:v>값</x:v>
      </x:c>
      <x:c r="C10" s="22" t="str">
        <x:v>근거/비고</x:v>
      </x:c>
    </x:row>
    <x:row r="11">
      <x:c r="A11" s="30" t="str">
        <x:v>OS / 브라우저</x:v>
      </x:c>
      <x:c r="B11" s="30" t="str">
        <x:v>Windows 11 / Chrome</x:v>
      </x:c>
      <x:c r="C11" s="30" t="str">
        <x:v>프론트 화면 테스트 시 실제 Chrome 버전 기록</x:v>
      </x:c>
    </x:row>
    <x:row r="12">
      <x:c r="A12" s="30" t="str">
        <x:v>서버</x:v>
      </x:c>
      <x:c r="B12" s="30" t="str">
        <x:v>Spring Boot 3.5.16 / Java 21 / port 80</x:v>
      </x:c>
      <x:c r="C12" s="30" t="str">
        <x:v>application.yml 및 build.gradle 기준</x:v>
      </x:c>
    </x:row>
    <x:row r="13">
      <x:c r="A13" s="30" t="str">
        <x:v>DB</x:v>
      </x:c>
      <x:c r="B13" s="30" t="str">
        <x:v>Oracle XE</x:v>
      </x:c>
      <x:c r="C13" s="30" t="str">
        <x:v>jdbc:oracle:thin:@192.168.51.34:1521:XE</x:v>
      </x:c>
    </x:row>
    <x:row r="14">
      <x:c r="A14" s="30" t="str">
        <x:v>도구</x:v>
      </x:c>
      <x:c r="B14" s="30" t="str">
        <x:v>Postman, SQL Developer, Chrome DevTools</x:v>
      </x:c>
      <x:c r="C14" s="30" t="str">
        <x:v>필요 시 GitHub Issues 추가</x:v>
      </x:c>
    </x:row>
    <x:row r="15">
      <x:c r="A15" s="30" t="str">
        <x:v>파일 제한</x:v>
      </x:c>
      <x:c r="B15" s="30" t="str">
        <x:v>파일당 100MB / 요청 100MB</x:v>
      </x:c>
      <x:c r="C15" s="30" t="str">
        <x:v>101MB 파일로 초과 테스트</x:v>
      </x:c>
    </x:row>
    <x:row r="16">
      <x:c r="A16" s="30" t="str">
        <x:v>인증</x:v>
      </x:c>
      <x:c r="B16" s="30" t="str">
        <x:v>JWT accessToken + refreshToken</x:v>
      </x:c>
      <x:c r="C16" s="30" t="str">
        <x:v>Authorization: Bearer {token}</x:v>
      </x:c>
    </x:row>
    <x:row r="18">
      <x:c r="A18" s="36" t="str">
        <x:v>테스트 범위</x:v>
      </x:c>
      <x:c r="B18" s="30" t="str">
        <x:v>로그인/토큰, 회원/마이페이지, 후기/댓글, 모집/참여요청/모임대화, 인증게시판, 공지, 문의/답변, 신고, 홈/환경센서/탄소통계</x:v>
      </x:c>
    </x:row>
    <x:row r="19">
      <x:c r="A19" s="36" t="str">
        <x:v>제외 범위</x:v>
      </x:c>
      <x:c r="B19" s="30" t="str">
        <x:v>실제 부하·성능 테스트, 침투 테스트, 외부 배포 인프라, 브라우저 호환성 전체, 프론트 소스 미포함 영역</x:v>
      </x:c>
    </x:row>
    <x:row r="20">
      <x:c r="A20" s="36" t="str">
        <x:v>완료 기준</x:v>
      </x:c>
      <x:c r="B20" s="30" t="str">
        <x:v>핵심 우선순위 '높음' TC 전부 실행, 치명/높음 Open 버그 0건, 알려진 제약 문서화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3" hidden="0" customWidth="1"/>
    <x:col min="5" max="5" width="11" hidden="0" customWidth="1"/>
    <x:col min="6" max="6" width="32" hidden="0" customWidth="1"/>
    <x:col min="7" max="7" width="27" hidden="0" customWidth="1"/>
    <x:col min="8" max="8" width="27" hidden="0" customWidth="1"/>
    <x:col min="9" max="9" width="38" hidden="0" customWidth="1"/>
    <x:col min="10" max="10" width="40" hidden="0" customWidth="1"/>
    <x:col min="11" max="11" width="38" hidden="0" customWidth="1"/>
    <x:col min="12" max="12" width="8" hidden="0" customWidth="1"/>
    <x:col min="13" max="13" width="11" hidden="0" customWidth="1"/>
    <x:col min="14" max="14" width="34" hidden="0" customWidth="1"/>
  </x:cols>
  <x:sheetData>
    <x:row r="1" ht="34" customHeight="1">
      <x:c r="A1" s="5" t="str">
        <x:v>2. 테스트 케이스 — 총 173건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실제 결과에는 응답 코드/메시지, 화면 변화, DB 상태를 함께 적으세요. P/F는 드롭다운으로 선택합니다.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22" t="str">
        <x:v>TC-ID</x:v>
      </x:c>
      <x:c r="B3" s="22" t="str">
        <x:v>대분류</x:v>
      </x:c>
      <x:c r="C3" s="22" t="str">
        <x:v>기능</x:v>
      </x:c>
      <x:c r="D3" s="22" t="str">
        <x:v>유형</x:v>
      </x:c>
      <x:c r="E3" s="22" t="str">
        <x:v>우선순위</x:v>
      </x:c>
      <x:c r="F3" s="22" t="str">
        <x:v>API / 화면</x:v>
      </x:c>
      <x:c r="G3" s="22" t="str">
        <x:v>시나리오</x:v>
      </x:c>
      <x:c r="H3" s="22" t="str">
        <x:v>사전조건</x:v>
      </x:c>
      <x:c r="I3" s="22" t="str">
        <x:v>입력·절차</x:v>
      </x:c>
      <x:c r="J3" s="22" t="str">
        <x:v>기대 결과</x:v>
      </x:c>
      <x:c r="K3" s="22" t="str">
        <x:v>실제 결과</x:v>
      </x:c>
      <x:c r="L3" s="22" t="str">
        <x:v>P/F</x:v>
      </x:c>
      <x:c r="M3" s="22" t="str">
        <x:v>결함 ID</x:v>
      </x:c>
      <x:c r="N3" s="22" t="str">
        <x:v>비고</x:v>
      </x:c>
    </x:row>
    <x:row r="4" ht="48" customHeight="1">
      <x:c r="A4" s="42" t="str">
        <x:v>TC-001</x:v>
      </x:c>
      <x:c r="B4" s="30" t="str">
        <x:v>인증</x:v>
      </x:c>
      <x:c r="C4" s="30" t="str">
        <x:v>로그인</x:v>
      </x:c>
      <x:c r="D4" s="42" t="str">
        <x:v>정상</x:v>
      </x:c>
      <x:c r="E4" s="42" t="str">
        <x:v>높음</x:v>
      </x:c>
      <x:c r="F4" s="30" t="str">
        <x:v>POST /api/auth/login</x:v>
      </x:c>
      <x:c r="G4" s="30" t="str">
        <x:v>정상 계정 로그인</x:v>
      </x:c>
      <x:c r="H4" s="30" t="str">
        <x:v>ROLE_USER 계정 존재</x:v>
      </x:c>
      <x:c r="I4" s="30" t="str">
        <x:v>올바른 userId/userPwd JSON 전송</x:v>
      </x:c>
      <x:c r="J4" s="30" t="str">
        <x:v>200, accessToken·refreshToken·사용자 정보 반환</x:v>
      </x:c>
      <x:c r="K4" s="44" t="str"/>
      <x:c r="L4" s="45" t="str"/>
      <x:c r="M4" s="45" t="str"/>
      <x:c r="N4" s="30" t="str"/>
    </x:row>
    <x:row r="5" ht="48" customHeight="1">
      <x:c r="A5" s="42" t="str">
        <x:v>TC-002</x:v>
      </x:c>
      <x:c r="B5" s="30" t="str">
        <x:v>인증</x:v>
      </x:c>
      <x:c r="C5" s="30" t="str">
        <x:v>로그인</x:v>
      </x:c>
      <x:c r="D5" s="42" t="str">
        <x:v>입력오류</x:v>
      </x:c>
      <x:c r="E5" s="42" t="str">
        <x:v>높음</x:v>
      </x:c>
      <x:c r="F5" s="30" t="str">
        <x:v>POST /api/auth/login</x:v>
      </x:c>
      <x:c r="G5" s="30" t="str">
        <x:v>비밀번호 오류</x:v>
      </x:c>
      <x:c r="H5" s="30" t="str">
        <x:v>가입 계정 존재</x:v>
      </x:c>
      <x:c r="I5" s="30" t="str">
        <x:v>정상 ID와 틀린 비밀번호 전송</x:v>
      </x:c>
      <x:c r="J5" s="30" t="str">
        <x:v>401, 계정 정보 노출 없는 공통 오류 메시지</x:v>
      </x:c>
      <x:c r="K5" s="44" t="str"/>
      <x:c r="L5" s="45" t="str"/>
      <x:c r="M5" s="45" t="str"/>
      <x:c r="N5" s="30" t="str">
        <x:v>현재 예외 처리 코드와 HTTP 상태 확인</x:v>
      </x:c>
    </x:row>
    <x:row r="6" ht="48" customHeight="1">
      <x:c r="A6" s="42" t="str">
        <x:v>TC-003</x:v>
      </x:c>
      <x:c r="B6" s="30" t="str">
        <x:v>인증</x:v>
      </x:c>
      <x:c r="C6" s="30" t="str">
        <x:v>로그인</x:v>
      </x:c>
      <x:c r="D6" s="42" t="str">
        <x:v>입력오류</x:v>
      </x:c>
      <x:c r="E6" s="42" t="str">
        <x:v>높음</x:v>
      </x:c>
      <x:c r="F6" s="30" t="str">
        <x:v>POST /api/auth/login</x:v>
      </x:c>
      <x:c r="G6" s="30" t="str">
        <x:v>아이디 빈 값</x:v>
      </x:c>
      <x:c r="H6" s="30" t="str">
        <x:v>-</x:v>
      </x:c>
      <x:c r="I6" s="30" t="str">
        <x:v>userId="" 전송</x:v>
      </x:c>
      <x:c r="J6" s="30" t="str">
        <x:v>400, 필수값 검증 메시지</x:v>
      </x:c>
      <x:c r="K6" s="44" t="str"/>
      <x:c r="L6" s="45" t="str"/>
      <x:c r="M6" s="45" t="str"/>
      <x:c r="N6" s="30" t="str"/>
    </x:row>
    <x:row r="7" ht="48" customHeight="1">
      <x:c r="A7" s="42" t="str">
        <x:v>TC-004</x:v>
      </x:c>
      <x:c r="B7" s="30" t="str">
        <x:v>인증</x:v>
      </x:c>
      <x:c r="C7" s="30" t="str">
        <x:v>로그인</x:v>
      </x:c>
      <x:c r="D7" s="42" t="str">
        <x:v>경계</x:v>
      </x:c>
      <x:c r="E7" s="42" t="str">
        <x:v>보통</x:v>
      </x:c>
      <x:c r="F7" s="30" t="str">
        <x:v>POST /api/auth/login</x:v>
      </x:c>
      <x:c r="G7" s="30" t="str">
        <x:v>아이디 길이 경계</x:v>
      </x:c>
      <x:c r="H7" s="30" t="str">
        <x:v>-</x:v>
      </x:c>
      <x:c r="I7" s="30" t="str">
        <x:v>3자/4자/20자/21자 ID로 각각 요청</x:v>
      </x:c>
      <x:c r="J7" s="30" t="str">
        <x:v>4~20자만 검증 통과</x:v>
      </x:c>
      <x:c r="K7" s="44" t="str"/>
      <x:c r="L7" s="45" t="str"/>
      <x:c r="M7" s="45" t="str"/>
      <x:c r="N7" s="30" t="str"/>
    </x:row>
    <x:row r="8" ht="48" customHeight="1">
      <x:c r="A8" s="42" t="str">
        <x:v>TC-005</x:v>
      </x:c>
      <x:c r="B8" s="30" t="str">
        <x:v>인증</x:v>
      </x:c>
      <x:c r="C8" s="30" t="str">
        <x:v>로그인</x:v>
      </x:c>
      <x:c r="D8" s="42" t="str">
        <x:v>입력오류</x:v>
      </x:c>
      <x:c r="E8" s="42" t="str">
        <x:v>보통</x:v>
      </x:c>
      <x:c r="F8" s="30" t="str">
        <x:v>POST /api/auth/login</x:v>
      </x:c>
      <x:c r="G8" s="30" t="str">
        <x:v>허용하지 않는 문자</x:v>
      </x:c>
      <x:c r="H8" s="30" t="str">
        <x:v>-</x:v>
      </x:c>
      <x:c r="I8" s="30" t="str">
        <x:v>ID 또는 비밀번호에 한글·특수문자 포함</x:v>
      </x:c>
      <x:c r="J8" s="30" t="str">
        <x:v>400, 영어/숫자 제한 메시지</x:v>
      </x:c>
      <x:c r="K8" s="44" t="str"/>
      <x:c r="L8" s="45" t="str"/>
      <x:c r="M8" s="45" t="str"/>
      <x:c r="N8" s="30" t="str"/>
    </x:row>
    <x:row r="9" ht="48" customHeight="1">
      <x:c r="A9" s="42" t="str">
        <x:v>TC-006</x:v>
      </x:c>
      <x:c r="B9" s="30" t="str">
        <x:v>인증</x:v>
      </x:c>
      <x:c r="C9" s="30" t="str">
        <x:v>보호 API</x:v>
      </x:c>
      <x:c r="D9" s="42" t="str">
        <x:v>인증</x:v>
      </x:c>
      <x:c r="E9" s="42" t="str">
        <x:v>높음</x:v>
      </x:c>
      <x:c r="F9" s="30" t="str">
        <x:v>GET /api/users</x:v>
      </x:c>
      <x:c r="G9" s="30" t="str">
        <x:v>토큰 없이 보호 API 호출</x:v>
      </x:c>
      <x:c r="H9" s="30" t="str">
        <x:v>로그아웃 상태</x:v>
      </x:c>
      <x:c r="I9" s="30" t="str">
        <x:v>Authorization 헤더 없이 요청</x:v>
      </x:c>
      <x:c r="J9" s="30" t="str">
        <x:v>401, 서비스/DB 로직 미실행</x:v>
      </x:c>
      <x:c r="K9" s="44" t="str"/>
      <x:c r="L9" s="45" t="str"/>
      <x:c r="M9" s="45" t="str"/>
      <x:c r="N9" s="30" t="str"/>
    </x:row>
    <x:row r="10" ht="48" customHeight="1">
      <x:c r="A10" s="42" t="str">
        <x:v>TC-007</x:v>
      </x:c>
      <x:c r="B10" s="30" t="str">
        <x:v>인증</x:v>
      </x:c>
      <x:c r="C10" s="30" t="str">
        <x:v>보호 API</x:v>
      </x:c>
      <x:c r="D10" s="42" t="str">
        <x:v>인증</x:v>
      </x:c>
      <x:c r="E10" s="42" t="str">
        <x:v>높음</x:v>
      </x:c>
      <x:c r="F10" s="30" t="str">
        <x:v>GET /api/users</x:v>
      </x:c>
      <x:c r="G10" s="30" t="str">
        <x:v>변조된 accessToken</x:v>
      </x:c>
      <x:c r="H10" s="30" t="str">
        <x:v>-</x:v>
      </x:c>
      <x:c r="I10" s="30" t="str">
        <x:v>서명 변조 토큰 전송</x:v>
      </x:c>
      <x:c r="J10" s="30" t="str">
        <x:v>401, 요청 차단</x:v>
      </x:c>
      <x:c r="K10" s="44" t="str"/>
      <x:c r="L10" s="45" t="str"/>
      <x:c r="M10" s="45" t="str"/>
      <x:c r="N10" s="30" t="str"/>
    </x:row>
    <x:row r="11" ht="48" customHeight="1">
      <x:c r="A11" s="42" t="str">
        <x:v>TC-008</x:v>
      </x:c>
      <x:c r="B11" s="30" t="str">
        <x:v>인증</x:v>
      </x:c>
      <x:c r="C11" s="30" t="str">
        <x:v>토큰 재발급</x:v>
      </x:c>
      <x:c r="D11" s="42" t="str">
        <x:v>정상</x:v>
      </x:c>
      <x:c r="E11" s="42" t="str">
        <x:v>높음</x:v>
      </x:c>
      <x:c r="F11" s="30" t="str">
        <x:v>POST /api/auth/refresh</x:v>
      </x:c>
      <x:c r="G11" s="30" t="str">
        <x:v>정상 refreshToken 회전</x:v>
      </x:c>
      <x:c r="H11" s="30" t="str">
        <x:v>로그인 후 refreshToken 보유</x:v>
      </x:c>
      <x:c r="I11" s="30" t="str">
        <x:v>유효한 refreshToken 전송</x:v>
      </x:c>
      <x:c r="J11" s="30" t="str">
        <x:v>201, 새 토큰 발급 + 기존 refreshToken 삭제</x:v>
      </x:c>
      <x:c r="K11" s="44" t="str"/>
      <x:c r="L11" s="45" t="str"/>
      <x:c r="M11" s="45" t="str"/>
      <x:c r="N11" s="30" t="str"/>
    </x:row>
    <x:row r="12" ht="48" customHeight="1">
      <x:c r="A12" s="42" t="str">
        <x:v>TC-009</x:v>
      </x:c>
      <x:c r="B12" s="30" t="str">
        <x:v>인증</x:v>
      </x:c>
      <x:c r="C12" s="30" t="str">
        <x:v>토큰 재발급</x:v>
      </x:c>
      <x:c r="D12" s="42" t="str">
        <x:v>입력오류</x:v>
      </x:c>
      <x:c r="E12" s="42" t="str">
        <x:v>높음</x:v>
      </x:c>
      <x:c r="F12" s="30" t="str">
        <x:v>POST /api/auth/refresh</x:v>
      </x:c>
      <x:c r="G12" s="30" t="str">
        <x:v>존재하지 않는 refreshToken</x:v>
      </x:c>
      <x:c r="H12" s="30" t="str">
        <x:v>-</x:v>
      </x:c>
      <x:c r="I12" s="30" t="str">
        <x:v>DB에 없는 임의 토큰 전송</x:v>
      </x:c>
      <x:c r="J12" s="30" t="str">
        <x:v>제어된 4xx, 500/NPE 금지</x:v>
      </x:c>
      <x:c r="K12" s="44" t="str"/>
      <x:c r="L12" s="45" t="str"/>
      <x:c r="M12" s="45" t="str"/>
      <x:c r="N12" s="30" t="str">
        <x:v>정적 점검상 null 검사 순서 확인 필요</x:v>
      </x:c>
    </x:row>
    <x:row r="13" ht="48" customHeight="1">
      <x:c r="A13" s="42" t="str">
        <x:v>TC-010</x:v>
      </x:c>
      <x:c r="B13" s="30" t="str">
        <x:v>인증</x:v>
      </x:c>
      <x:c r="C13" s="30" t="str">
        <x:v>토큰 재발급</x:v>
      </x:c>
      <x:c r="D13" s="42" t="str">
        <x:v>경계</x:v>
      </x:c>
      <x:c r="E13" s="42" t="str">
        <x:v>높음</x:v>
      </x:c>
      <x:c r="F13" s="30" t="str">
        <x:v>POST /api/auth/refresh</x:v>
      </x:c>
      <x:c r="G13" s="30" t="str">
        <x:v>회전된 구 refreshToken 재사용</x:v>
      </x:c>
      <x:c r="H13" s="30" t="str">
        <x:v>정상 회전 수행 완료</x:v>
      </x:c>
      <x:c r="I13" s="30" t="str">
        <x:v>이전 refreshToken 재전송</x:v>
      </x:c>
      <x:c r="J13" s="30" t="str">
        <x:v>재발급 거부, 제어된 4xx</x:v>
      </x:c>
      <x:c r="K13" s="44" t="str"/>
      <x:c r="L13" s="45" t="str"/>
      <x:c r="M13" s="45" t="str"/>
      <x:c r="N13" s="30" t="str"/>
    </x:row>
    <x:row r="14" ht="48" customHeight="1">
      <x:c r="A14" s="42" t="str">
        <x:v>TC-011</x:v>
      </x:c>
      <x:c r="B14" s="30" t="str">
        <x:v>인증</x:v>
      </x:c>
      <x:c r="C14" s="30" t="str">
        <x:v>로그아웃</x:v>
      </x:c>
      <x:c r="D14" s="42" t="str">
        <x:v>정상</x:v>
      </x:c>
      <x:c r="E14" s="42" t="str">
        <x:v>높음</x:v>
      </x:c>
      <x:c r="F14" s="30" t="str">
        <x:v>POST /api/auth/logout</x:v>
      </x:c>
      <x:c r="G14" s="30" t="str">
        <x:v>정상 로그아웃</x:v>
      </x:c>
      <x:c r="H14" s="30" t="str">
        <x:v>로그인 상태</x:v>
      </x:c>
      <x:c r="I14" s="30" t="str">
        <x:v>accessToken과 refreshToken으로 요청</x:v>
      </x:c>
      <x:c r="J14" s="30" t="str">
        <x:v>200, refreshToken DB 삭제</x:v>
      </x:c>
      <x:c r="K14" s="44" t="str"/>
      <x:c r="L14" s="45" t="str"/>
      <x:c r="M14" s="45" t="str"/>
      <x:c r="N14" s="30" t="str"/>
    </x:row>
    <x:row r="15" ht="48" customHeight="1">
      <x:c r="A15" s="42" t="str">
        <x:v>TC-012</x:v>
      </x:c>
      <x:c r="B15" s="30" t="str">
        <x:v>인증</x:v>
      </x:c>
      <x:c r="C15" s="30" t="str">
        <x:v>로그아웃</x:v>
      </x:c>
      <x:c r="D15" s="42" t="str">
        <x:v>인증</x:v>
      </x:c>
      <x:c r="E15" s="42" t="str">
        <x:v>보통</x:v>
      </x:c>
      <x:c r="F15" s="30" t="str">
        <x:v>POST /api/auth/logout</x:v>
      </x:c>
      <x:c r="G15" s="30" t="str">
        <x:v>토큰 없이 로그아웃</x:v>
      </x:c>
      <x:c r="H15" s="30" t="str">
        <x:v>로그아웃 상태</x:v>
      </x:c>
      <x:c r="I15" s="30" t="str">
        <x:v>Authorization 없이 요청</x:v>
      </x:c>
      <x:c r="J15" s="30" t="str">
        <x:v>401, 처리 미실행</x:v>
      </x:c>
      <x:c r="K15" s="44" t="str"/>
      <x:c r="L15" s="45" t="str"/>
      <x:c r="M15" s="45" t="str"/>
      <x:c r="N15" s="30" t="str"/>
    </x:row>
    <x:row r="16" ht="48" customHeight="1">
      <x:c r="A16" s="42" t="str">
        <x:v>TC-013</x:v>
      </x:c>
      <x:c r="B16" s="30" t="str">
        <x:v>인증</x:v>
      </x:c>
      <x:c r="C16" s="30" t="str">
        <x:v>탈퇴 계정 로그인</x:v>
      </x:c>
      <x:c r="D16" s="42" t="str">
        <x:v>인가</x:v>
      </x:c>
      <x:c r="E16" s="42" t="str">
        <x:v>높음</x:v>
      </x:c>
      <x:c r="F16" s="30" t="str">
        <x:v>POST /api/auth/login</x:v>
      </x:c>
      <x:c r="G16" s="30" t="str">
        <x:v>soft delete 계정 로그인 차단</x:v>
      </x:c>
      <x:c r="H16" s="30" t="str">
        <x:v>DELETED='Y' 계정 존재</x:v>
      </x:c>
      <x:c r="I16" s="30" t="str">
        <x:v>탈퇴 계정 ID/PW 로그인</x:v>
      </x:c>
      <x:c r="J16" s="30" t="str">
        <x:v>401, 토큰 미발급</x:v>
      </x:c>
      <x:c r="K16" s="44" t="str"/>
      <x:c r="L16" s="45" t="str"/>
      <x:c r="M16" s="45" t="str"/>
      <x:c r="N16" s="30" t="str"/>
    </x:row>
    <x:row r="17" ht="48" customHeight="1">
      <x:c r="A17" s="42" t="str">
        <x:v>TC-014</x:v>
      </x:c>
      <x:c r="B17" s="30" t="str">
        <x:v>회원</x:v>
      </x:c>
      <x:c r="C17" s="30" t="str">
        <x:v>회원가입</x:v>
      </x:c>
      <x:c r="D17" s="42" t="str">
        <x:v>정상</x:v>
      </x:c>
      <x:c r="E17" s="42" t="str">
        <x:v>높음</x:v>
      </x:c>
      <x:c r="F17" s="30" t="str">
        <x:v>POST /api/users</x:v>
      </x:c>
      <x:c r="G17" s="30" t="str">
        <x:v>정상 회원가입</x:v>
      </x:c>
      <x:c r="H17" s="30" t="str">
        <x:v>중복되지 않은 ID</x:v>
      </x:c>
      <x:c r="I17" s="30" t="str">
        <x:v>유효한 모든 필드 전송</x:v>
      </x:c>
      <x:c r="J17" s="30" t="str">
        <x:v>201, ROLE_USER 저장, 비밀번호 BCrypt 암호화</x:v>
      </x:c>
      <x:c r="K17" s="44" t="str"/>
      <x:c r="L17" s="45" t="str"/>
      <x:c r="M17" s="45" t="str"/>
      <x:c r="N17" s="30" t="str"/>
    </x:row>
    <x:row r="18" ht="48" customHeight="1">
      <x:c r="A18" s="42" t="str">
        <x:v>TC-015</x:v>
      </x:c>
      <x:c r="B18" s="30" t="str">
        <x:v>회원</x:v>
      </x:c>
      <x:c r="C18" s="30" t="str">
        <x:v>회원가입</x:v>
      </x:c>
      <x:c r="D18" s="42" t="str">
        <x:v>입력오류</x:v>
      </x:c>
      <x:c r="E18" s="42" t="str">
        <x:v>높음</x:v>
      </x:c>
      <x:c r="F18" s="30" t="str">
        <x:v>POST /api/users</x:v>
      </x:c>
      <x:c r="G18" s="30" t="str">
        <x:v>중복 아이디</x:v>
      </x:c>
      <x:c r="H18" s="30" t="str">
        <x:v>이미 가입된 ID 존재</x:v>
      </x:c>
      <x:c r="I18" s="30" t="str">
        <x:v>동일 userId로 가입</x:v>
      </x:c>
      <x:c r="J18" s="30" t="str">
        <x:v>409 또는 400, 추가 행 미생성</x:v>
      </x:c>
      <x:c r="K18" s="44" t="str"/>
      <x:c r="L18" s="45" t="str"/>
      <x:c r="M18" s="45" t="str"/>
      <x:c r="N18" s="30" t="str"/>
    </x:row>
    <x:row r="19" ht="48" customHeight="1">
      <x:c r="A19" s="42" t="str">
        <x:v>TC-016</x:v>
      </x:c>
      <x:c r="B19" s="30" t="str">
        <x:v>회원</x:v>
      </x:c>
      <x:c r="C19" s="30" t="str">
        <x:v>회원가입</x:v>
      </x:c>
      <x:c r="D19" s="42" t="str">
        <x:v>경계</x:v>
      </x:c>
      <x:c r="E19" s="42" t="str">
        <x:v>보통</x:v>
      </x:c>
      <x:c r="F19" s="30" t="str">
        <x:v>POST /api/users</x:v>
      </x:c>
      <x:c r="G19" s="30" t="str">
        <x:v>ID/PW 길이 경계</x:v>
      </x:c>
      <x:c r="H19" s="30" t="str">
        <x:v>-</x:v>
      </x:c>
      <x:c r="I19" s="30" t="str">
        <x:v>각 필드 3/4/20/21자로 요청</x:v>
      </x:c>
      <x:c r="J19" s="30" t="str">
        <x:v>4~20자만 통과</x:v>
      </x:c>
      <x:c r="K19" s="44" t="str"/>
      <x:c r="L19" s="45" t="str"/>
      <x:c r="M19" s="45" t="str"/>
      <x:c r="N19" s="30" t="str"/>
    </x:row>
    <x:row r="20" ht="48" customHeight="1">
      <x:c r="A20" s="42" t="str">
        <x:v>TC-017</x:v>
      </x:c>
      <x:c r="B20" s="30" t="str">
        <x:v>회원</x:v>
      </x:c>
      <x:c r="C20" s="30" t="str">
        <x:v>회원가입</x:v>
      </x:c>
      <x:c r="D20" s="42" t="str">
        <x:v>입력오류</x:v>
      </x:c>
      <x:c r="E20" s="42" t="str">
        <x:v>높음</x:v>
      </x:c>
      <x:c r="F20" s="30" t="str">
        <x:v>POST /api/users</x:v>
      </x:c>
      <x:c r="G20" s="30" t="str">
        <x:v>필수값 누락</x:v>
      </x:c>
      <x:c r="H20" s="30" t="str">
        <x:v>-</x:v>
      </x:c>
      <x:c r="I20" s="30" t="str">
        <x:v>이름·이메일·전화·주소를 하나씩 누락</x:v>
      </x:c>
      <x:c r="J20" s="30" t="str">
        <x:v>400, 누락 필드별 검증</x:v>
      </x:c>
      <x:c r="K20" s="44" t="str"/>
      <x:c r="L20" s="45" t="str"/>
      <x:c r="M20" s="45" t="str"/>
      <x:c r="N20" s="30" t="str"/>
    </x:row>
    <x:row r="21" ht="48" customHeight="1">
      <x:c r="A21" s="42" t="str">
        <x:v>TC-018</x:v>
      </x:c>
      <x:c r="B21" s="30" t="str">
        <x:v>회원</x:v>
      </x:c>
      <x:c r="C21" s="30" t="str">
        <x:v>회원가입</x:v>
      </x:c>
      <x:c r="D21" s="42" t="str">
        <x:v>입력오류</x:v>
      </x:c>
      <x:c r="E21" s="42" t="str">
        <x:v>보통</x:v>
      </x:c>
      <x:c r="F21" s="30" t="str">
        <x:v>POST /api/users</x:v>
      </x:c>
      <x:c r="G21" s="30" t="str">
        <x:v>잘못된 이메일 형식</x:v>
      </x:c>
      <x:c r="H21" s="30" t="str">
        <x:v>-</x:v>
      </x:c>
      <x:c r="I21" s="30" t="str">
        <x:v>email="abc" 전송</x:v>
      </x:c>
      <x:c r="J21" s="30" t="str">
        <x:v>400, 이메일 형식 검증</x:v>
      </x:c>
      <x:c r="K21" s="44" t="str"/>
      <x:c r="L21" s="45" t="str"/>
      <x:c r="M21" s="45" t="str"/>
      <x:c r="N21" s="30" t="str">
        <x:v>현재 DTO에 @Email 유무 확인</x:v>
      </x:c>
    </x:row>
    <x:row r="22" ht="48" customHeight="1">
      <x:c r="A22" s="42" t="str">
        <x:v>TC-019</x:v>
      </x:c>
      <x:c r="B22" s="30" t="str">
        <x:v>회원</x:v>
      </x:c>
      <x:c r="C22" s="30" t="str">
        <x:v>회원가입</x:v>
      </x:c>
      <x:c r="D22" s="42" t="str">
        <x:v>입력오류</x:v>
      </x:c>
      <x:c r="E22" s="42" t="str">
        <x:v>보통</x:v>
      </x:c>
      <x:c r="F22" s="30" t="str">
        <x:v>POST /api/users</x:v>
      </x:c>
      <x:c r="G22" s="30" t="str">
        <x:v>전화번호 문자 포함</x:v>
      </x:c>
      <x:c r="H22" s="30" t="str">
        <x:v>-</x:v>
      </x:c>
      <x:c r="I22" s="30" t="str">
        <x:v>phone="010ABCD1234" 전송</x:v>
      </x:c>
      <x:c r="J22" s="30" t="str">
        <x:v>400, 숫자 형식 검증</x:v>
      </x:c>
      <x:c r="K22" s="44" t="str"/>
      <x:c r="L22" s="45" t="str"/>
      <x:c r="M22" s="45" t="str"/>
      <x:c r="N22" s="30" t="str">
        <x:v>현재 DTO에 숫자 패턴 유무 확인</x:v>
      </x:c>
    </x:row>
    <x:row r="23" ht="48" customHeight="1">
      <x:c r="A23" s="42" t="str">
        <x:v>TC-020</x:v>
      </x:c>
      <x:c r="B23" s="30" t="str">
        <x:v>회원</x:v>
      </x:c>
      <x:c r="C23" s="30" t="str">
        <x:v>회원가입</x:v>
      </x:c>
      <x:c r="D23" s="42" t="str">
        <x:v>경계</x:v>
      </x:c>
      <x:c r="E23" s="42" t="str">
        <x:v>보통</x:v>
      </x:c>
      <x:c r="F23" s="30" t="str">
        <x:v>POST /api/users</x:v>
      </x:c>
      <x:c r="G23" s="30" t="str">
        <x:v>이메일·전화·주소 최대 길이</x:v>
      </x:c>
      <x:c r="H23" s="30" t="str">
        <x:v>-</x:v>
      </x:c>
      <x:c r="I23" s="30" t="str">
        <x:v>이메일 20/21, 전화 11/12, 주소 100/101자</x:v>
      </x:c>
      <x:c r="J23" s="30" t="str">
        <x:v>최대 길이 이내만 통과</x:v>
      </x:c>
      <x:c r="K23" s="44" t="str"/>
      <x:c r="L23" s="45" t="str"/>
      <x:c r="M23" s="45" t="str"/>
      <x:c r="N23" s="30" t="str"/>
    </x:row>
    <x:row r="24" ht="48" customHeight="1">
      <x:c r="A24" s="42" t="str">
        <x:v>TC-021</x:v>
      </x:c>
      <x:c r="B24" s="30" t="str">
        <x:v>회원</x:v>
      </x:c>
      <x:c r="C24" s="30" t="str">
        <x:v>내 정보 조회</x:v>
      </x:c>
      <x:c r="D24" s="42" t="str">
        <x:v>정상</x:v>
      </x:c>
      <x:c r="E24" s="42" t="str">
        <x:v>높음</x:v>
      </x:c>
      <x:c r="F24" s="30" t="str">
        <x:v>GET /api/users</x:v>
      </x:c>
      <x:c r="G24" s="30" t="str">
        <x:v>로그인 사용자 정보 조회</x:v>
      </x:c>
      <x:c r="H24" s="30" t="str">
        <x:v>로그인 상태</x:v>
      </x:c>
      <x:c r="I24" s="30" t="str">
        <x:v>GET 요청</x:v>
      </x:c>
      <x:c r="J24" s="30" t="str">
        <x:v>200, 본인 정보만 반환, 비밀번호 미포함</x:v>
      </x:c>
      <x:c r="K24" s="44" t="str"/>
      <x:c r="L24" s="45" t="str"/>
      <x:c r="M24" s="45" t="str"/>
      <x:c r="N24" s="30" t="str"/>
    </x:row>
    <x:row r="25" ht="48" customHeight="1">
      <x:c r="A25" s="42" t="str">
        <x:v>TC-022</x:v>
      </x:c>
      <x:c r="B25" s="30" t="str">
        <x:v>회원</x:v>
      </x:c>
      <x:c r="C25" s="30" t="str">
        <x:v>내 정보 수정</x:v>
      </x:c>
      <x:c r="D25" s="42" t="str">
        <x:v>정상</x:v>
      </x:c>
      <x:c r="E25" s="42" t="str">
        <x:v>높음</x:v>
      </x:c>
      <x:c r="F25" s="30" t="str">
        <x:v>PATCH /api/users</x:v>
      </x:c>
      <x:c r="G25" s="30" t="str">
        <x:v>텍스트 정보만 수정</x:v>
      </x:c>
      <x:c r="H25" s="30" t="str">
        <x:v>로그인 상태</x:v>
      </x:c>
      <x:c r="I25" s="30" t="str">
        <x:v>파일 없이 정보 수정</x:v>
      </x:c>
      <x:c r="J25" s="30" t="str">
        <x:v>200, 정보 변경, 기존 프로필 유지</x:v>
      </x:c>
      <x:c r="K25" s="44" t="str"/>
      <x:c r="L25" s="45" t="str"/>
      <x:c r="M25" s="45" t="str"/>
      <x:c r="N25" s="30" t="str"/>
    </x:row>
    <x:row r="26" ht="48" customHeight="1">
      <x:c r="A26" s="42" t="str">
        <x:v>TC-023</x:v>
      </x:c>
      <x:c r="B26" s="30" t="str">
        <x:v>회원</x:v>
      </x:c>
      <x:c r="C26" s="30" t="str">
        <x:v>내 정보 수정</x:v>
      </x:c>
      <x:c r="D26" s="42" t="str">
        <x:v>정상</x:v>
      </x:c>
      <x:c r="E26" s="42" t="str">
        <x:v>보통</x:v>
      </x:c>
      <x:c r="F26" s="30" t="str">
        <x:v>PATCH /api/users</x:v>
      </x:c>
      <x:c r="G26" s="30" t="str">
        <x:v>프로필 이미지 변경</x:v>
      </x:c>
      <x:c r="H26" s="30" t="str">
        <x:v>기존 프로필 존재</x:v>
      </x:c>
      <x:c r="I26" s="30" t="str">
        <x:v>새 이미지와 수정 정보 전송</x:v>
      </x:c>
      <x:c r="J26" s="30" t="str">
        <x:v>200, DB 파일 정보 교체, 이미지 조회 가능</x:v>
      </x:c>
      <x:c r="K26" s="44" t="str"/>
      <x:c r="L26" s="45" t="str"/>
      <x:c r="M26" s="45" t="str"/>
      <x:c r="N26" s="30" t="str"/>
    </x:row>
    <x:row r="27" ht="48" customHeight="1">
      <x:c r="A27" s="42" t="str">
        <x:v>TC-024</x:v>
      </x:c>
      <x:c r="B27" s="30" t="str">
        <x:v>회원</x:v>
      </x:c>
      <x:c r="C27" s="30" t="str">
        <x:v>내 정보 수정</x:v>
      </x:c>
      <x:c r="D27" s="42" t="str">
        <x:v>입력오류</x:v>
      </x:c>
      <x:c r="E27" s="42" t="str">
        <x:v>높음</x:v>
      </x:c>
      <x:c r="F27" s="30" t="str">
        <x:v>PATCH /api/users</x:v>
      </x:c>
      <x:c r="G27" s="30" t="str">
        <x:v>유효하지 않은 수정값</x:v>
      </x:c>
      <x:c r="H27" s="30" t="str">
        <x:v>로그인 상태</x:v>
      </x:c>
      <x:c r="I27" s="30" t="str">
        <x:v>빈 이름 또는 21자 이름 전송</x:v>
      </x:c>
      <x:c r="J27" s="30" t="str">
        <x:v>400, 기존 정보 유지</x:v>
      </x:c>
      <x:c r="K27" s="44" t="str"/>
      <x:c r="L27" s="45" t="str"/>
      <x:c r="M27" s="45" t="str"/>
      <x:c r="N27" s="30" t="str">
        <x:v>컨트롤러 @Valid 적용 여부 확인</x:v>
      </x:c>
    </x:row>
    <x:row r="28" ht="48" customHeight="1">
      <x:c r="A28" s="42" t="str">
        <x:v>TC-025</x:v>
      </x:c>
      <x:c r="B28" s="30" t="str">
        <x:v>회원</x:v>
      </x:c>
      <x:c r="C28" s="30" t="str">
        <x:v>프로필 파일</x:v>
      </x:c>
      <x:c r="D28" s="42" t="str">
        <x:v>입력오류</x:v>
      </x:c>
      <x:c r="E28" s="42" t="str">
        <x:v>보통</x:v>
      </x:c>
      <x:c r="F28" s="30" t="str">
        <x:v>PATCH /api/users</x:v>
      </x:c>
      <x:c r="G28" s="30" t="str">
        <x:v>비이미지 확장자</x:v>
      </x:c>
      <x:c r="H28" s="30" t="str">
        <x:v>로그인 상태</x:v>
      </x:c>
      <x:c r="I28" s="30" t="str">
        <x:v>exe 또는 txt 업로드</x:v>
      </x:c>
      <x:c r="J28" s="30" t="str">
        <x:v>400, 파일 저장/DB 등록 금지</x:v>
      </x:c>
      <x:c r="K28" s="44" t="str"/>
      <x:c r="L28" s="45" t="str"/>
      <x:c r="M28" s="45" t="str"/>
      <x:c r="N28" s="30" t="str"/>
    </x:row>
    <x:row r="29" ht="48" customHeight="1">
      <x:c r="A29" s="42" t="str">
        <x:v>TC-026</x:v>
      </x:c>
      <x:c r="B29" s="30" t="str">
        <x:v>회원</x:v>
      </x:c>
      <x:c r="C29" s="30" t="str">
        <x:v>회원탈퇴</x:v>
      </x:c>
      <x:c r="D29" s="42" t="str">
        <x:v>정상</x:v>
      </x:c>
      <x:c r="E29" s="42" t="str">
        <x:v>높음</x:v>
      </x:c>
      <x:c r="F29" s="30" t="str">
        <x:v>DELETE /api/users</x:v>
      </x:c>
      <x:c r="G29" s="30" t="str">
        <x:v>비밀번호 일치 탈퇴</x:v>
      </x:c>
      <x:c r="H29" s="30" t="str">
        <x:v>로그인 상태</x:v>
      </x:c>
      <x:c r="I29" s="30" t="str">
        <x:v>정확한 userPwd 전송</x:v>
      </x:c>
      <x:c r="J29" s="30" t="str">
        <x:v>200, DELETED='Y', 이후 로그인 차단</x:v>
      </x:c>
      <x:c r="K29" s="44" t="str"/>
      <x:c r="L29" s="45" t="str"/>
      <x:c r="M29" s="45" t="str"/>
      <x:c r="N29" s="30" t="str"/>
    </x:row>
    <x:row r="30" ht="48" customHeight="1">
      <x:c r="A30" s="42" t="str">
        <x:v>TC-027</x:v>
      </x:c>
      <x:c r="B30" s="30" t="str">
        <x:v>회원</x:v>
      </x:c>
      <x:c r="C30" s="30" t="str">
        <x:v>회원탈퇴</x:v>
      </x:c>
      <x:c r="D30" s="42" t="str">
        <x:v>입력오류</x:v>
      </x:c>
      <x:c r="E30" s="42" t="str">
        <x:v>높음</x:v>
      </x:c>
      <x:c r="F30" s="30" t="str">
        <x:v>DELETE /api/users</x:v>
      </x:c>
      <x:c r="G30" s="30" t="str">
        <x:v>비밀번호 불일치</x:v>
      </x:c>
      <x:c r="H30" s="30" t="str">
        <x:v>로그인 상태</x:v>
      </x:c>
      <x:c r="I30" s="30" t="str">
        <x:v>틀린 userPwd 전송</x:v>
      </x:c>
      <x:c r="J30" s="30" t="str">
        <x:v>400 또는 401, 계정 상태 불변</x:v>
      </x:c>
      <x:c r="K30" s="44" t="str"/>
      <x:c r="L30" s="45" t="str"/>
      <x:c r="M30" s="45" t="str"/>
      <x:c r="N30" s="30" t="str"/>
    </x:row>
    <x:row r="31" ht="48" customHeight="1">
      <x:c r="A31" s="42" t="str">
        <x:v>TC-028</x:v>
      </x:c>
      <x:c r="B31" s="30" t="str">
        <x:v>회원</x:v>
      </x:c>
      <x:c r="C31" s="30" t="str">
        <x:v>마이페이지</x:v>
      </x:c>
      <x:c r="D31" s="42" t="str">
        <x:v>경계</x:v>
      </x:c>
      <x:c r="E31" s="42" t="str">
        <x:v>보통</x:v>
      </x:c>
      <x:c r="F31" s="30" t="str">
        <x:v>GET /api/users/boards?page=-1</x:v>
      </x:c>
      <x:c r="G31" s="30" t="str">
        <x:v>음수 페이지</x:v>
      </x:c>
      <x:c r="H31" s="30" t="str">
        <x:v>로그인 상태</x:v>
      </x:c>
      <x:c r="I31" s="30" t="str">
        <x:v>page=-1 요청</x:v>
      </x:c>
      <x:c r="J31" s="30" t="str">
        <x:v>1페이지 보정 또는 명시적 400, 500 금지</x:v>
      </x:c>
      <x:c r="K31" s="44" t="str"/>
      <x:c r="L31" s="45" t="str"/>
      <x:c r="M31" s="45" t="str"/>
      <x:c r="N31" s="30" t="str"/>
    </x:row>
    <x:row r="32" ht="48" customHeight="1">
      <x:c r="A32" s="42" t="str">
        <x:v>TC-029</x:v>
      </x:c>
      <x:c r="B32" s="30" t="str">
        <x:v>후기게시판</x:v>
      </x:c>
      <x:c r="C32" s="30" t="str">
        <x:v>목록</x:v>
      </x:c>
      <x:c r="D32" s="42" t="str">
        <x:v>정상</x:v>
      </x:c>
      <x:c r="E32" s="42" t="str">
        <x:v>높음</x:v>
      </x:c>
      <x:c r="F32" s="30" t="str">
        <x:v>GET /api/boards?category=REVIEW&amp;page=1</x:v>
      </x:c>
      <x:c r="G32" s="30" t="str">
        <x:v>비로그인 목록 조회</x:v>
      </x:c>
      <x:c r="H32" s="30" t="str">
        <x:v>게시글 존재</x:v>
      </x:c>
      <x:c r="I32" s="30" t="str">
        <x:v>GET 요청</x:v>
      </x:c>
      <x:c r="J32" s="30" t="str">
        <x:v>200, DELETED='N' 게시글만 페이지 단위 반환</x:v>
      </x:c>
      <x:c r="K32" s="44" t="str"/>
      <x:c r="L32" s="45" t="str"/>
      <x:c r="M32" s="45" t="str"/>
      <x:c r="N32" s="30" t="str"/>
    </x:row>
    <x:row r="33" ht="48" customHeight="1">
      <x:c r="A33" s="42" t="str">
        <x:v>TC-030</x:v>
      </x:c>
      <x:c r="B33" s="30" t="str">
        <x:v>후기게시판</x:v>
      </x:c>
      <x:c r="C33" s="30" t="str">
        <x:v>목록</x:v>
      </x:c>
      <x:c r="D33" s="42" t="str">
        <x:v>정상</x:v>
      </x:c>
      <x:c r="E33" s="42" t="str">
        <x:v>보통</x:v>
      </x:c>
      <x:c r="F33" s="30" t="str">
        <x:v>GET /api/boards?category=REVIEW&amp;keyword=플로깅</x:v>
      </x:c>
      <x:c r="G33" s="30" t="str">
        <x:v>키워드 검색</x:v>
      </x:c>
      <x:c r="H33" s="30" t="str">
        <x:v>포함/미포함 글 존재</x:v>
      </x:c>
      <x:c r="I33" s="30" t="str">
        <x:v>keyword로 검색</x:v>
      </x:c>
      <x:c r="J33" s="30" t="str">
        <x:v>포함 글만 반환, count와 목록 수 일치</x:v>
      </x:c>
      <x:c r="K33" s="44" t="str"/>
      <x:c r="L33" s="45" t="str"/>
      <x:c r="M33" s="45" t="str"/>
      <x:c r="N33" s="30" t="str"/>
    </x:row>
    <x:row r="34" ht="48" customHeight="1">
      <x:c r="A34" s="42" t="str">
        <x:v>TC-031</x:v>
      </x:c>
      <x:c r="B34" s="30" t="str">
        <x:v>후기게시판</x:v>
      </x:c>
      <x:c r="C34" s="30" t="str">
        <x:v>목록</x:v>
      </x:c>
      <x:c r="D34" s="42" t="str">
        <x:v>경계</x:v>
      </x:c>
      <x:c r="E34" s="42" t="str">
        <x:v>보통</x:v>
      </x:c>
      <x:c r="F34" s="30" t="str">
        <x:v>GET /api/boards?page=0</x:v>
      </x:c>
      <x:c r="G34" s="30" t="str">
        <x:v>0·음수 페이지</x:v>
      </x:c>
      <x:c r="H34" s="30" t="str">
        <x:v>-</x:v>
      </x:c>
      <x:c r="I34" s="30" t="str">
        <x:v>page=0, -1 각각 호출</x:v>
      </x:c>
      <x:c r="J34" s="30" t="str">
        <x:v>1페이지 보정 또는 명시적 400, 500 금지</x:v>
      </x:c>
      <x:c r="K34" s="44" t="str"/>
      <x:c r="L34" s="45" t="str"/>
      <x:c r="M34" s="45" t="str"/>
      <x:c r="N34" s="30" t="str"/>
    </x:row>
    <x:row r="35" ht="48" customHeight="1">
      <x:c r="A35" s="42" t="str">
        <x:v>TC-032</x:v>
      </x:c>
      <x:c r="B35" s="30" t="str">
        <x:v>후기게시판</x:v>
      </x:c>
      <x:c r="C35" s="30" t="str">
        <x:v>목록</x:v>
      </x:c>
      <x:c r="D35" s="42" t="str">
        <x:v>경계</x:v>
      </x:c>
      <x:c r="E35" s="42" t="str">
        <x:v>낮음</x:v>
      </x:c>
      <x:c r="F35" s="30" t="str">
        <x:v>GET /api/boards?page=9999</x:v>
      </x:c>
      <x:c r="G35" s="30" t="str">
        <x:v>최대 페이지 초과</x:v>
      </x:c>
      <x:c r="H35" s="30" t="str">
        <x:v>-</x:v>
      </x:c>
      <x:c r="I35" s="30" t="str">
        <x:v>큰 페이지 요청</x:v>
      </x:c>
      <x:c r="J35" s="30" t="str">
        <x:v>200 빈 목록과 pageInfo 또는 명시적 400</x:v>
      </x:c>
      <x:c r="K35" s="44" t="str"/>
      <x:c r="L35" s="45" t="str"/>
      <x:c r="M35" s="45" t="str"/>
      <x:c r="N35" s="30" t="str"/>
    </x:row>
    <x:row r="36" ht="48" customHeight="1">
      <x:c r="A36" s="42" t="str">
        <x:v>TC-033</x:v>
      </x:c>
      <x:c r="B36" s="30" t="str">
        <x:v>후기게시판</x:v>
      </x:c>
      <x:c r="C36" s="30" t="str">
        <x:v>상세</x:v>
      </x:c>
      <x:c r="D36" s="42" t="str">
        <x:v>정상</x:v>
      </x:c>
      <x:c r="E36" s="42" t="str">
        <x:v>보통</x:v>
      </x:c>
      <x:c r="F36" s="30" t="str">
        <x:v>GET /api/boards/{boardNo}</x:v>
      </x:c>
      <x:c r="G36" s="30" t="str">
        <x:v>상세 조회 및 조회수 증가</x:v>
      </x:c>
      <x:c r="H36" s="30" t="str">
        <x:v>정상 글 존재</x:v>
      </x:c>
      <x:c r="I36" s="30" t="str">
        <x:v>같은 글 2회 조회 후 DB 확인</x:v>
      </x:c>
      <x:c r="J36" s="30" t="str">
        <x:v>요청 성공, 조회수 정책대로 증가</x:v>
      </x:c>
      <x:c r="K36" s="44" t="str"/>
      <x:c r="L36" s="45" t="str"/>
      <x:c r="M36" s="45" t="str"/>
      <x:c r="N36" s="30" t="str"/>
    </x:row>
    <x:row r="37" ht="48" customHeight="1">
      <x:c r="A37" s="42" t="str">
        <x:v>TC-034</x:v>
      </x:c>
      <x:c r="B37" s="30" t="str">
        <x:v>후기게시판</x:v>
      </x:c>
      <x:c r="C37" s="30" t="str">
        <x:v>상세</x:v>
      </x:c>
      <x:c r="D37" s="42" t="str">
        <x:v>입력오류</x:v>
      </x:c>
      <x:c r="E37" s="42" t="str">
        <x:v>보통</x:v>
      </x:c>
      <x:c r="F37" s="30" t="str">
        <x:v>GET /api/boards/99999999</x:v>
      </x:c>
      <x:c r="G37" s="30" t="str">
        <x:v>없는 글 조회</x:v>
      </x:c>
      <x:c r="H37" s="30" t="str">
        <x:v>-</x:v>
      </x:c>
      <x:c r="I37" s="30" t="str">
        <x:v>존재하지 않는 boardNo 요청</x:v>
      </x:c>
      <x:c r="J37" s="30" t="str">
        <x:v>404 또는 제어된 4xx, 500 금지</x:v>
      </x:c>
      <x:c r="K37" s="44" t="str"/>
      <x:c r="L37" s="45" t="str"/>
      <x:c r="M37" s="45" t="str"/>
      <x:c r="N37" s="30" t="str"/>
    </x:row>
    <x:row r="38" ht="48" customHeight="1">
      <x:c r="A38" s="42" t="str">
        <x:v>TC-035</x:v>
      </x:c>
      <x:c r="B38" s="30" t="str">
        <x:v>후기게시판</x:v>
      </x:c>
      <x:c r="C38" s="30" t="str">
        <x:v>작성</x:v>
      </x:c>
      <x:c r="D38" s="42" t="str">
        <x:v>정상</x:v>
      </x:c>
      <x:c r="E38" s="42" t="str">
        <x:v>높음</x:v>
      </x:c>
      <x:c r="F38" s="30" t="str">
        <x:v>POST /api/boards</x:v>
      </x:c>
      <x:c r="G38" s="30" t="str">
        <x:v>파일 없는 정상 작성</x:v>
      </x:c>
      <x:c r="H38" s="30" t="str">
        <x:v>로그인 상태</x:v>
      </x:c>
      <x:c r="I38" s="30" t="str">
        <x:v>제목·내용 multipart 전송</x:v>
      </x:c>
      <x:c r="J38" s="30" t="str">
        <x:v>201, 목록/상세 노출</x:v>
      </x:c>
      <x:c r="K38" s="44" t="str"/>
      <x:c r="L38" s="45" t="str"/>
      <x:c r="M38" s="45" t="str"/>
      <x:c r="N38" s="30" t="str"/>
    </x:row>
    <x:row r="39" ht="48" customHeight="1">
      <x:c r="A39" s="42" t="str">
        <x:v>TC-036</x:v>
      </x:c>
      <x:c r="B39" s="30" t="str">
        <x:v>후기게시판</x:v>
      </x:c>
      <x:c r="C39" s="30" t="str">
        <x:v>작성</x:v>
      </x:c>
      <x:c r="D39" s="42" t="str">
        <x:v>정상</x:v>
      </x:c>
      <x:c r="E39" s="42" t="str">
        <x:v>높음</x:v>
      </x:c>
      <x:c r="F39" s="30" t="str">
        <x:v>POST /api/boards</x:v>
      </x:c>
      <x:c r="G39" s="30" t="str">
        <x:v>여러 파일 첨부 작성</x:v>
      </x:c>
      <x:c r="H39" s="30" t="str">
        <x:v>로그인 상태</x:v>
      </x:c>
      <x:c r="I39" s="30" t="str">
        <x:v>이미지 1~4개 전송</x:v>
      </x:c>
      <x:c r="J39" s="30" t="str">
        <x:v>201, 모든 파일 DB/디스크 저장</x:v>
      </x:c>
      <x:c r="K39" s="44" t="str"/>
      <x:c r="L39" s="45" t="str"/>
      <x:c r="M39" s="45" t="str"/>
      <x:c r="N39" s="30" t="str"/>
    </x:row>
    <x:row r="40" ht="48" customHeight="1">
      <x:c r="A40" s="42" t="str">
        <x:v>TC-037</x:v>
      </x:c>
      <x:c r="B40" s="30" t="str">
        <x:v>후기게시판</x:v>
      </x:c>
      <x:c r="C40" s="30" t="str">
        <x:v>작성</x:v>
      </x:c>
      <x:c r="D40" s="42" t="str">
        <x:v>입력오류</x:v>
      </x:c>
      <x:c r="E40" s="42" t="str">
        <x:v>높음</x:v>
      </x:c>
      <x:c r="F40" s="30" t="str">
        <x:v>POST /api/boards</x:v>
      </x:c>
      <x:c r="G40" s="30" t="str">
        <x:v>빈 제목/내용</x:v>
      </x:c>
      <x:c r="H40" s="30" t="str">
        <x:v>로그인 상태</x:v>
      </x:c>
      <x:c r="I40" s="30" t="str">
        <x:v>title 또는 content 공백</x:v>
      </x:c>
      <x:c r="J40" s="30" t="str">
        <x:v>400, 게시글/파일 미생성</x:v>
      </x:c>
      <x:c r="K40" s="44" t="str"/>
      <x:c r="L40" s="45" t="str"/>
      <x:c r="M40" s="45" t="str"/>
      <x:c r="N40" s="30" t="str"/>
    </x:row>
    <x:row r="41" ht="48" customHeight="1">
      <x:c r="A41" s="42" t="str">
        <x:v>TC-038</x:v>
      </x:c>
      <x:c r="B41" s="30" t="str">
        <x:v>후기게시판</x:v>
      </x:c>
      <x:c r="C41" s="30" t="str">
        <x:v>작성</x:v>
      </x:c>
      <x:c r="D41" s="42" t="str">
        <x:v>인증</x:v>
      </x:c>
      <x:c r="E41" s="42" t="str">
        <x:v>높음</x:v>
      </x:c>
      <x:c r="F41" s="30" t="str">
        <x:v>POST /api/boards</x:v>
      </x:c>
      <x:c r="G41" s="30" t="str">
        <x:v>비로그인 작성 차단</x:v>
      </x:c>
      <x:c r="H41" s="30" t="str">
        <x:v>로그아웃 상태</x:v>
      </x:c>
      <x:c r="I41" s="30" t="str">
        <x:v>토큰 없이 요청</x:v>
      </x:c>
      <x:c r="J41" s="30" t="str">
        <x:v>401, DB 변경 없음</x:v>
      </x:c>
      <x:c r="K41" s="44" t="str"/>
      <x:c r="L41" s="45" t="str"/>
      <x:c r="M41" s="45" t="str"/>
      <x:c r="N41" s="30" t="str"/>
    </x:row>
    <x:row r="42" ht="48" customHeight="1">
      <x:c r="A42" s="42" t="str">
        <x:v>TC-039</x:v>
      </x:c>
      <x:c r="B42" s="30" t="str">
        <x:v>후기게시판</x:v>
      </x:c>
      <x:c r="C42" s="30" t="str">
        <x:v>파일</x:v>
      </x:c>
      <x:c r="D42" s="42" t="str">
        <x:v>경계</x:v>
      </x:c>
      <x:c r="E42" s="42" t="str">
        <x:v>높음</x:v>
      </x:c>
      <x:c r="F42" s="30" t="str">
        <x:v>POST /api/boards</x:v>
      </x:c>
      <x:c r="G42" s="30" t="str">
        <x:v>100MB 초과 파일</x:v>
      </x:c>
      <x:c r="H42" s="30" t="str">
        <x:v>로그인 상태</x:v>
      </x:c>
      <x:c r="I42" s="30" t="str">
        <x:v>101MB 파일 첨부</x:v>
      </x:c>
      <x:c r="J42" s="30" t="str">
        <x:v>413 또는 400, 트랜잭션 롤백</x:v>
      </x:c>
      <x:c r="K42" s="44" t="str"/>
      <x:c r="L42" s="45" t="str"/>
      <x:c r="M42" s="45" t="str"/>
      <x:c r="N42" s="30" t="str">
        <x:v>현재 max-file-size=100MB</x:v>
      </x:c>
    </x:row>
    <x:row r="43" ht="48" customHeight="1">
      <x:c r="A43" s="42" t="str">
        <x:v>TC-040</x:v>
      </x:c>
      <x:c r="B43" s="30" t="str">
        <x:v>후기게시판</x:v>
      </x:c>
      <x:c r="C43" s="30" t="str">
        <x:v>파일</x:v>
      </x:c>
      <x:c r="D43" s="42" t="str">
        <x:v>입력오류</x:v>
      </x:c>
      <x:c r="E43" s="42" t="str">
        <x:v>보통</x:v>
      </x:c>
      <x:c r="F43" s="30" t="str">
        <x:v>POST /api/boards</x:v>
      </x:c>
      <x:c r="G43" s="30" t="str">
        <x:v>허용하지 않는 확장자</x:v>
      </x:c>
      <x:c r="H43" s="30" t="str">
        <x:v>로그인 상태</x:v>
      </x:c>
      <x:c r="I43" s="30" t="str">
        <x:v>실행파일/스크립트 첨부</x:v>
      </x:c>
      <x:c r="J43" s="30" t="str">
        <x:v>400, 업로드 차단</x:v>
      </x:c>
      <x:c r="K43" s="44" t="str"/>
      <x:c r="L43" s="45" t="str"/>
      <x:c r="M43" s="45" t="str"/>
      <x:c r="N43" s="30" t="str"/>
    </x:row>
    <x:row r="44" ht="48" customHeight="1">
      <x:c r="A44" s="42" t="str">
        <x:v>TC-041</x:v>
      </x:c>
      <x:c r="B44" s="30" t="str">
        <x:v>후기게시판</x:v>
      </x:c>
      <x:c r="C44" s="30" t="str">
        <x:v>수정</x:v>
      </x:c>
      <x:c r="D44" s="42" t="str">
        <x:v>정상</x:v>
      </x:c>
      <x:c r="E44" s="42" t="str">
        <x:v>높음</x:v>
      </x:c>
      <x:c r="F44" s="30" t="str">
        <x:v>PATCH /api/boards/{boardNo}</x:v>
      </x:c>
      <x:c r="G44" s="30" t="str">
        <x:v>파일 없이 제목만 수정</x:v>
      </x:c>
      <x:c r="H44" s="30" t="str">
        <x:v>본인 글 + 기존 첨부</x:v>
      </x:c>
      <x:c r="I44" s="30" t="str">
        <x:v>files/deleteFileNos 없이 수정</x:v>
      </x:c>
      <x:c r="J44" s="30" t="str">
        <x:v>200, 기존 첨부 유지, UPDATED='Y'</x:v>
      </x:c>
      <x:c r="K44" s="44" t="str"/>
      <x:c r="L44" s="45" t="str"/>
      <x:c r="M44" s="45" t="str"/>
      <x:c r="N44" s="30" t="str"/>
    </x:row>
    <x:row r="45" ht="48" customHeight="1">
      <x:c r="A45" s="42" t="str">
        <x:v>TC-042</x:v>
      </x:c>
      <x:c r="B45" s="30" t="str">
        <x:v>후기게시판</x:v>
      </x:c>
      <x:c r="C45" s="30" t="str">
        <x:v>수정</x:v>
      </x:c>
      <x:c r="D45" s="42" t="str">
        <x:v>정상</x:v>
      </x:c>
      <x:c r="E45" s="42" t="str">
        <x:v>높음</x:v>
      </x:c>
      <x:c r="F45" s="30" t="str">
        <x:v>PATCH /api/boards/{boardNo}</x:v>
      </x:c>
      <x:c r="G45" s="30" t="str">
        <x:v>선택 파일 삭제 + 새 파일 추가</x:v>
      </x:c>
      <x:c r="H45" s="30" t="str">
        <x:v>본인 글 + 첨부 2개</x:v>
      </x:c>
      <x:c r="I45" s="30" t="str">
        <x:v>deleteFileNos 1개 + 신규 1개</x:v>
      </x:c>
      <x:c r="J45" s="30" t="str">
        <x:v>선택 파일만 제외, 나머지 유지, 신규 추가</x:v>
      </x:c>
      <x:c r="K45" s="44" t="str"/>
      <x:c r="L45" s="45" t="str"/>
      <x:c r="M45" s="45" t="str"/>
      <x:c r="N45" s="30" t="str"/>
    </x:row>
    <x:row r="46" ht="48" customHeight="1">
      <x:c r="A46" s="42" t="str">
        <x:v>TC-043</x:v>
      </x:c>
      <x:c r="B46" s="30" t="str">
        <x:v>후기게시판</x:v>
      </x:c>
      <x:c r="C46" s="30" t="str">
        <x:v>수정</x:v>
      </x:c>
      <x:c r="D46" s="42" t="str">
        <x:v>소유권</x:v>
      </x:c>
      <x:c r="E46" s="42" t="str">
        <x:v>높음</x:v>
      </x:c>
      <x:c r="F46" s="30" t="str">
        <x:v>PATCH /api/boards/{boardNo}</x:v>
      </x:c>
      <x:c r="G46" s="30" t="str">
        <x:v>타인 글 수정</x:v>
      </x:c>
      <x:c r="H46" s="30" t="str">
        <x:v>B 글, A 로그인</x:v>
      </x:c>
      <x:c r="I46" s="30" t="str">
        <x:v>A 토큰으로 B 글 수정</x:v>
      </x:c>
      <x:c r="J46" s="30" t="str">
        <x:v>403 "작성자 아님", 변경 없음</x:v>
      </x:c>
      <x:c r="K46" s="44" t="str"/>
      <x:c r="L46" s="45" t="str"/>
      <x:c r="M46" s="45" t="str"/>
      <x:c r="N46" s="30" t="str"/>
    </x:row>
    <x:row r="47" ht="48" customHeight="1">
      <x:c r="A47" s="42" t="str">
        <x:v>TC-044</x:v>
      </x:c>
      <x:c r="B47" s="30" t="str">
        <x:v>후기게시판</x:v>
      </x:c>
      <x:c r="C47" s="30" t="str">
        <x:v>삭제</x:v>
      </x:c>
      <x:c r="D47" s="42" t="str">
        <x:v>정상</x:v>
      </x:c>
      <x:c r="E47" s="42" t="str">
        <x:v>높음</x:v>
      </x:c>
      <x:c r="F47" s="30" t="str">
        <x:v>DELETE /api/boards/{boardNo}</x:v>
      </x:c>
      <x:c r="G47" s="30" t="str">
        <x:v>본인 글 soft delete</x:v>
      </x:c>
      <x:c r="H47" s="30" t="str">
        <x:v>본인 글 존재</x:v>
      </x:c>
      <x:c r="I47" s="30" t="str">
        <x:v>삭제 후 목록/DB 확인</x:v>
      </x:c>
      <x:c r="J47" s="30" t="str">
        <x:v>200 또는 204, DELETED='Y', 목록 제외</x:v>
      </x:c>
      <x:c r="K47" s="44" t="str"/>
      <x:c r="L47" s="45" t="str"/>
      <x:c r="M47" s="45" t="str"/>
      <x:c r="N47" s="30" t="str"/>
    </x:row>
    <x:row r="48" ht="48" customHeight="1">
      <x:c r="A48" s="42" t="str">
        <x:v>TC-045</x:v>
      </x:c>
      <x:c r="B48" s="30" t="str">
        <x:v>후기게시판</x:v>
      </x:c>
      <x:c r="C48" s="30" t="str">
        <x:v>삭제</x:v>
      </x:c>
      <x:c r="D48" s="42" t="str">
        <x:v>소유권</x:v>
      </x:c>
      <x:c r="E48" s="42" t="str">
        <x:v>높음</x:v>
      </x:c>
      <x:c r="F48" s="30" t="str">
        <x:v>DELETE /api/boards/{boardNo}</x:v>
      </x:c>
      <x:c r="G48" s="30" t="str">
        <x:v>타인 글 삭제</x:v>
      </x:c>
      <x:c r="H48" s="30" t="str">
        <x:v>B 글, A 로그인</x:v>
      </x:c>
      <x:c r="I48" s="30" t="str">
        <x:v>A 토큰으로 삭제</x:v>
      </x:c>
      <x:c r="J48" s="30" t="str">
        <x:v>403, 글·파일 상태 불변</x:v>
      </x:c>
      <x:c r="K48" s="44" t="str"/>
      <x:c r="L48" s="45" t="str"/>
      <x:c r="M48" s="45" t="str"/>
      <x:c r="N48" s="30" t="str"/>
    </x:row>
    <x:row r="49" ht="48" customHeight="1">
      <x:c r="A49" s="42" t="str">
        <x:v>TC-046</x:v>
      </x:c>
      <x:c r="B49" s="30" t="str">
        <x:v>후기게시판</x:v>
      </x:c>
      <x:c r="C49" s="30" t="str">
        <x:v>삭제</x:v>
      </x:c>
      <x:c r="D49" s="42" t="str">
        <x:v>데이터무결성</x:v>
      </x:c>
      <x:c r="E49" s="42" t="str">
        <x:v>높음</x:v>
      </x:c>
      <x:c r="F49" s="30" t="str">
        <x:v>GET /api/boards/{boardNo}</x:v>
      </x:c>
      <x:c r="G49" s="30" t="str">
        <x:v>삭제 글 재조회</x:v>
      </x:c>
      <x:c r="H49" s="30" t="str">
        <x:v>삭제 성공</x:v>
      </x:c>
      <x:c r="I49" s="30" t="str">
        <x:v>목록/상세 조회</x:v>
      </x:c>
      <x:c r="J49" s="30" t="str">
        <x:v>목록 미노출, 상세 404/4xx</x:v>
      </x:c>
      <x:c r="K49" s="44" t="str"/>
      <x:c r="L49" s="45" t="str"/>
      <x:c r="M49" s="45" t="str"/>
      <x:c r="N49" s="30" t="str"/>
    </x:row>
    <x:row r="50" ht="48" customHeight="1">
      <x:c r="A50" s="42" t="str">
        <x:v>TC-047</x:v>
      </x:c>
      <x:c r="B50" s="30" t="str">
        <x:v>후기댓글</x:v>
      </x:c>
      <x:c r="C50" s="30" t="str">
        <x:v>작성</x:v>
      </x:c>
      <x:c r="D50" s="42" t="str">
        <x:v>정상</x:v>
      </x:c>
      <x:c r="E50" s="42" t="str">
        <x:v>보통</x:v>
      </x:c>
      <x:c r="F50" s="30" t="str">
        <x:v>POST /api/boards/{boardNo}/comments</x:v>
      </x:c>
      <x:c r="G50" s="30" t="str">
        <x:v>정상 댓글 작성</x:v>
      </x:c>
      <x:c r="H50" s="30" t="str">
        <x:v>로그인 + 정상 글</x:v>
      </x:c>
      <x:c r="I50" s="30" t="str">
        <x:v>content 전송</x:v>
      </x:c>
      <x:c r="J50" s="30" t="str">
        <x:v>201, 상세 댓글 목록 노출</x:v>
      </x:c>
      <x:c r="K50" s="44" t="str"/>
      <x:c r="L50" s="45" t="str"/>
      <x:c r="M50" s="45" t="str"/>
      <x:c r="N50" s="30" t="str"/>
    </x:row>
    <x:row r="51" ht="48" customHeight="1">
      <x:c r="A51" s="42" t="str">
        <x:v>TC-048</x:v>
      </x:c>
      <x:c r="B51" s="30" t="str">
        <x:v>후기댓글</x:v>
      </x:c>
      <x:c r="C51" s="30" t="str">
        <x:v>작성</x:v>
      </x:c>
      <x:c r="D51" s="42" t="str">
        <x:v>입력오류</x:v>
      </x:c>
      <x:c r="E51" s="42" t="str">
        <x:v>보통</x:v>
      </x:c>
      <x:c r="F51" s="30" t="str">
        <x:v>POST /api/boards/{boardNo}/comments</x:v>
      </x:c>
      <x:c r="G51" s="30" t="str">
        <x:v>빈 댓글</x:v>
      </x:c>
      <x:c r="H51" s="30" t="str">
        <x:v>로그인 + 정상 글</x:v>
      </x:c>
      <x:c r="I51" s="30" t="str">
        <x:v>content="" 전송</x:v>
      </x:c>
      <x:c r="J51" s="30" t="str">
        <x:v>400, 댓글 미생성</x:v>
      </x:c>
      <x:c r="K51" s="44" t="str"/>
      <x:c r="L51" s="45" t="str"/>
      <x:c r="M51" s="45" t="str"/>
      <x:c r="N51" s="30" t="str">
        <x:v>현재 DTO 검증 유무 확인</x:v>
      </x:c>
    </x:row>
    <x:row r="52" ht="48" customHeight="1">
      <x:c r="A52" s="42" t="str">
        <x:v>TC-049</x:v>
      </x:c>
      <x:c r="B52" s="30" t="str">
        <x:v>후기댓글</x:v>
      </x:c>
      <x:c r="C52" s="30" t="str">
        <x:v>작성</x:v>
      </x:c>
      <x:c r="D52" s="42" t="str">
        <x:v>인증</x:v>
      </x:c>
      <x:c r="E52" s="42" t="str">
        <x:v>보통</x:v>
      </x:c>
      <x:c r="F52" s="30" t="str">
        <x:v>POST /api/boards/{boardNo}/comments</x:v>
      </x:c>
      <x:c r="G52" s="30" t="str">
        <x:v>비로그인 댓글</x:v>
      </x:c>
      <x:c r="H52" s="30" t="str">
        <x:v>정상 글</x:v>
      </x:c>
      <x:c r="I52" s="30" t="str">
        <x:v>토큰 없이 요청</x:v>
      </x:c>
      <x:c r="J52" s="30" t="str">
        <x:v>401, 댓글 미생성</x:v>
      </x:c>
      <x:c r="K52" s="44" t="str"/>
      <x:c r="L52" s="45" t="str"/>
      <x:c r="M52" s="45" t="str"/>
      <x:c r="N52" s="30" t="str"/>
    </x:row>
    <x:row r="53" ht="48" customHeight="1">
      <x:c r="A53" s="42" t="str">
        <x:v>TC-050</x:v>
      </x:c>
      <x:c r="B53" s="30" t="str">
        <x:v>후기댓글</x:v>
      </x:c>
      <x:c r="C53" s="30" t="str">
        <x:v>작성</x:v>
      </x:c>
      <x:c r="D53" s="42" t="str">
        <x:v>입력오류</x:v>
      </x:c>
      <x:c r="E53" s="42" t="str">
        <x:v>높음</x:v>
      </x:c>
      <x:c r="F53" s="30" t="str">
        <x:v>POST /api/boards/999999/comments</x:v>
      </x:c>
      <x:c r="G53" s="30" t="str">
        <x:v>없는/삭제 글에 댓글</x:v>
      </x:c>
      <x:c r="H53" s="30" t="str">
        <x:v>로그인 상태</x:v>
      </x:c>
      <x:c r="I53" s="30" t="str">
        <x:v>없는 또는 삭제 boardNo로 작성</x:v>
      </x:c>
      <x:c r="J53" s="30" t="str">
        <x:v>404/400, 고아 댓글 미생성</x:v>
      </x:c>
      <x:c r="K53" s="44" t="str"/>
      <x:c r="L53" s="45" t="str"/>
      <x:c r="M53" s="45" t="str"/>
      <x:c r="N53" s="30" t="str"/>
    </x:row>
    <x:row r="54" ht="48" customHeight="1">
      <x:c r="A54" s="42" t="str">
        <x:v>TC-051</x:v>
      </x:c>
      <x:c r="B54" s="30" t="str">
        <x:v>후기댓글</x:v>
      </x:c>
      <x:c r="C54" s="30" t="str">
        <x:v>수정</x:v>
      </x:c>
      <x:c r="D54" s="42" t="str">
        <x:v>정상</x:v>
      </x:c>
      <x:c r="E54" s="42" t="str">
        <x:v>보통</x:v>
      </x:c>
      <x:c r="F54" s="30" t="str">
        <x:v>PATCH /api/boards/{boardNo}/comments/{commentNo}</x:v>
      </x:c>
      <x:c r="G54" s="30" t="str">
        <x:v>본인 댓글 수정</x:v>
      </x:c>
      <x:c r="H54" s="30" t="str">
        <x:v>본인 댓글 존재</x:v>
      </x:c>
      <x:c r="I54" s="30" t="str">
        <x:v>새 content 전송</x:v>
      </x:c>
      <x:c r="J54" s="30" t="str">
        <x:v>200, 내용 변경, UPDATED 표시</x:v>
      </x:c>
      <x:c r="K54" s="44" t="str"/>
      <x:c r="L54" s="45" t="str"/>
      <x:c r="M54" s="45" t="str"/>
      <x:c r="N54" s="30" t="str"/>
    </x:row>
    <x:row r="55" ht="48" customHeight="1">
      <x:c r="A55" s="42" t="str">
        <x:v>TC-052</x:v>
      </x:c>
      <x:c r="B55" s="30" t="str">
        <x:v>후기댓글</x:v>
      </x:c>
      <x:c r="C55" s="30" t="str">
        <x:v>수정</x:v>
      </x:c>
      <x:c r="D55" s="42" t="str">
        <x:v>소유권</x:v>
      </x:c>
      <x:c r="E55" s="42" t="str">
        <x:v>높음</x:v>
      </x:c>
      <x:c r="F55" s="30" t="str">
        <x:v>PATCH /api/boards/{boardNo}/comments/{commentNo}</x:v>
      </x:c>
      <x:c r="G55" s="30" t="str">
        <x:v>타인 댓글 수정</x:v>
      </x:c>
      <x:c r="H55" s="30" t="str">
        <x:v>B 댓글, A 로그인</x:v>
      </x:c>
      <x:c r="I55" s="30" t="str">
        <x:v>A 토큰으로 수정</x:v>
      </x:c>
      <x:c r="J55" s="30" t="str">
        <x:v>403, 댓글 변경 없음</x:v>
      </x:c>
      <x:c r="K55" s="44" t="str"/>
      <x:c r="L55" s="45" t="str"/>
      <x:c r="M55" s="45" t="str"/>
      <x:c r="N55" s="30" t="str"/>
    </x:row>
    <x:row r="56" ht="48" customHeight="1">
      <x:c r="A56" s="42" t="str">
        <x:v>TC-053</x:v>
      </x:c>
      <x:c r="B56" s="30" t="str">
        <x:v>후기댓글</x:v>
      </x:c>
      <x:c r="C56" s="30" t="str">
        <x:v>삭제</x:v>
      </x:c>
      <x:c r="D56" s="42" t="str">
        <x:v>정상</x:v>
      </x:c>
      <x:c r="E56" s="42" t="str">
        <x:v>보통</x:v>
      </x:c>
      <x:c r="F56" s="30" t="str">
        <x:v>DELETE /api/boards/{boardNo}/comments/{commentNo}</x:v>
      </x:c>
      <x:c r="G56" s="30" t="str">
        <x:v>본인 댓글 삭제</x:v>
      </x:c>
      <x:c r="H56" s="30" t="str">
        <x:v>본인 댓글 존재</x:v>
      </x:c>
      <x:c r="I56" s="30" t="str">
        <x:v>삭제 후 상세 조회</x:v>
      </x:c>
      <x:c r="J56" s="30" t="str">
        <x:v>200, DELETED='Y', 목록 제외</x:v>
      </x:c>
      <x:c r="K56" s="44" t="str"/>
      <x:c r="L56" s="45" t="str"/>
      <x:c r="M56" s="45" t="str"/>
      <x:c r="N56" s="30" t="str"/>
    </x:row>
    <x:row r="57" ht="48" customHeight="1">
      <x:c r="A57" s="42" t="str">
        <x:v>TC-054</x:v>
      </x:c>
      <x:c r="B57" s="30" t="str">
        <x:v>후기댓글</x:v>
      </x:c>
      <x:c r="C57" s="30" t="str">
        <x:v>삭제</x:v>
      </x:c>
      <x:c r="D57" s="42" t="str">
        <x:v>소유권</x:v>
      </x:c>
      <x:c r="E57" s="42" t="str">
        <x:v>높음</x:v>
      </x:c>
      <x:c r="F57" s="30" t="str">
        <x:v>DELETE /api/boards/{boardNo}/comments/{commentNo}</x:v>
      </x:c>
      <x:c r="G57" s="30" t="str">
        <x:v>타인 댓글 삭제</x:v>
      </x:c>
      <x:c r="H57" s="30" t="str">
        <x:v>B 댓글, A 로그인</x:v>
      </x:c>
      <x:c r="I57" s="30" t="str">
        <x:v>A 토큰으로 삭제</x:v>
      </x:c>
      <x:c r="J57" s="30" t="str">
        <x:v>403, 댓글 유지</x:v>
      </x:c>
      <x:c r="K57" s="44" t="str"/>
      <x:c r="L57" s="45" t="str"/>
      <x:c r="M57" s="45" t="str"/>
      <x:c r="N57" s="30" t="str"/>
    </x:row>
    <x:row r="58" ht="48" customHeight="1">
      <x:c r="A58" s="42" t="str">
        <x:v>TC-055</x:v>
      </x:c>
      <x:c r="B58" s="30" t="str">
        <x:v>모집게시판</x:v>
      </x:c>
      <x:c r="C58" s="30" t="str">
        <x:v>작성</x:v>
      </x:c>
      <x:c r="D58" s="42" t="str">
        <x:v>정상</x:v>
      </x:c>
      <x:c r="E58" s="42" t="str">
        <x:v>높음</x:v>
      </x:c>
      <x:c r="F58" s="30" t="str">
        <x:v>POST /api/joins/reform</x:v>
      </x:c>
      <x:c r="G58" s="30" t="str">
        <x:v>모집글 + 모집장 자동 참여</x:v>
      </x:c>
      <x:c r="H58" s="30" t="str">
        <x:v>로그인 상태</x:v>
      </x:c>
      <x:c r="I58" s="30" t="str">
        <x:v>유효한 필드와 선택 파일 전송</x:v>
      </x:c>
      <x:c r="J58" s="30" t="str">
        <x:v>201, JOIN_BOARD + 모집장 ACCEPTED 요청 생성</x:v>
      </x:c>
      <x:c r="K58" s="44" t="str"/>
      <x:c r="L58" s="45" t="str"/>
      <x:c r="M58" s="45" t="str"/>
      <x:c r="N58" s="30" t="str"/>
    </x:row>
    <x:row r="59" ht="48" customHeight="1">
      <x:c r="A59" s="42" t="str">
        <x:v>TC-056</x:v>
      </x:c>
      <x:c r="B59" s="30" t="str">
        <x:v>모집게시판</x:v>
      </x:c>
      <x:c r="C59" s="30" t="str">
        <x:v>작성</x:v>
      </x:c>
      <x:c r="D59" s="42" t="str">
        <x:v>인증</x:v>
      </x:c>
      <x:c r="E59" s="42" t="str">
        <x:v>높음</x:v>
      </x:c>
      <x:c r="F59" s="30" t="str">
        <x:v>POST /api/joins/reform</x:v>
      </x:c>
      <x:c r="G59" s="30" t="str">
        <x:v>비로그인 작성</x:v>
      </x:c>
      <x:c r="H59" s="30" t="str">
        <x:v>로그아웃 상태</x:v>
      </x:c>
      <x:c r="I59" s="30" t="str">
        <x:v>토큰 없이 요청</x:v>
      </x:c>
      <x:c r="J59" s="30" t="str">
        <x:v>401, 게시글/요청 미생성</x:v>
      </x:c>
      <x:c r="K59" s="44" t="str"/>
      <x:c r="L59" s="45" t="str"/>
      <x:c r="M59" s="45" t="str"/>
      <x:c r="N59" s="30" t="str"/>
    </x:row>
    <x:row r="60" ht="48" customHeight="1">
      <x:c r="A60" s="42" t="str">
        <x:v>TC-057</x:v>
      </x:c>
      <x:c r="B60" s="30" t="str">
        <x:v>모집게시판</x:v>
      </x:c>
      <x:c r="C60" s="30" t="str">
        <x:v>작성</x:v>
      </x:c>
      <x:c r="D60" s="42" t="str">
        <x:v>입력오류</x:v>
      </x:c>
      <x:c r="E60" s="42" t="str">
        <x:v>높음</x:v>
      </x:c>
      <x:c r="F60" s="30" t="str">
        <x:v>POST /api/joins/reform</x:v>
      </x:c>
      <x:c r="G60" s="30" t="str">
        <x:v>필수 문자열 누락</x:v>
      </x:c>
      <x:c r="H60" s="30" t="str">
        <x:v>로그인 상태</x:v>
      </x:c>
      <x:c r="I60" s="30" t="str">
        <x:v>category/region/title/content 공백</x:v>
      </x:c>
      <x:c r="J60" s="30" t="str">
        <x:v>400, 생성 없음</x:v>
      </x:c>
      <x:c r="K60" s="44" t="str"/>
      <x:c r="L60" s="45" t="str"/>
      <x:c r="M60" s="45" t="str"/>
      <x:c r="N60" s="30" t="str"/>
    </x:row>
    <x:row r="61" ht="48" customHeight="1">
      <x:c r="A61" s="42" t="str">
        <x:v>TC-058</x:v>
      </x:c>
      <x:c r="B61" s="30" t="str">
        <x:v>모집게시판</x:v>
      </x:c>
      <x:c r="C61" s="30" t="str">
        <x:v>작성</x:v>
      </x:c>
      <x:c r="D61" s="42" t="str">
        <x:v>경계</x:v>
      </x:c>
      <x:c r="E61" s="42" t="str">
        <x:v>보통</x:v>
      </x:c>
      <x:c r="F61" s="30" t="str">
        <x:v>POST /api/joins/reform</x:v>
      </x:c>
      <x:c r="G61" s="30" t="str">
        <x:v>문자열 길이 경계</x:v>
      </x:c>
      <x:c r="H61" s="30" t="str">
        <x:v>로그인 상태</x:v>
      </x:c>
      <x:c r="I61" s="30" t="str">
        <x:v>제목 1/2/20/21, 지역 1/2/50/51, 내용 1/2/2000/2001자</x:v>
      </x:c>
      <x:c r="J61" s="30" t="str">
        <x:v>정의된 범위만 통과</x:v>
      </x:c>
      <x:c r="K61" s="44" t="str"/>
      <x:c r="L61" s="45" t="str"/>
      <x:c r="M61" s="45" t="str"/>
      <x:c r="N61" s="30" t="str"/>
    </x:row>
    <x:row r="62" ht="48" customHeight="1">
      <x:c r="A62" s="42" t="str">
        <x:v>TC-059</x:v>
      </x:c>
      <x:c r="B62" s="30" t="str">
        <x:v>모집게시판</x:v>
      </x:c>
      <x:c r="C62" s="30" t="str">
        <x:v>작성</x:v>
      </x:c>
      <x:c r="D62" s="42" t="str">
        <x:v>경계</x:v>
      </x:c>
      <x:c r="E62" s="42" t="str">
        <x:v>보통</x:v>
      </x:c>
      <x:c r="F62" s="30" t="str">
        <x:v>POST /api/joins/reform</x:v>
      </x:c>
      <x:c r="G62" s="30" t="str">
        <x:v>모집인원 최대값</x:v>
      </x:c>
      <x:c r="H62" s="30" t="str">
        <x:v>로그인 상태</x:v>
      </x:c>
      <x:c r="I62" s="30" t="str">
        <x:v>participants=20, 21 요청</x:v>
      </x:c>
      <x:c r="J62" s="30" t="str">
        <x:v>20 성공, 21은 400</x:v>
      </x:c>
      <x:c r="K62" s="44" t="str"/>
      <x:c r="L62" s="45" t="str"/>
      <x:c r="M62" s="45" t="str"/>
      <x:c r="N62" s="30" t="str"/>
    </x:row>
    <x:row r="63" ht="48" customHeight="1">
      <x:c r="A63" s="42" t="str">
        <x:v>TC-060</x:v>
      </x:c>
      <x:c r="B63" s="30" t="str">
        <x:v>모집게시판</x:v>
      </x:c>
      <x:c r="C63" s="30" t="str">
        <x:v>작성</x:v>
      </x:c>
      <x:c r="D63" s="42" t="str">
        <x:v>입력오류</x:v>
      </x:c>
      <x:c r="E63" s="42" t="str">
        <x:v>높음</x:v>
      </x:c>
      <x:c r="F63" s="30" t="str">
        <x:v>POST /api/joins/reform</x:v>
      </x:c>
      <x:c r="G63" s="30" t="str">
        <x:v>모집인원 음수</x:v>
      </x:c>
      <x:c r="H63" s="30" t="str">
        <x:v>로그인 상태</x:v>
      </x:c>
      <x:c r="I63" s="30" t="str">
        <x:v>participants=-1</x:v>
      </x:c>
      <x:c r="J63" s="30" t="str">
        <x:v>400, 생성 없음</x:v>
      </x:c>
      <x:c r="K63" s="44" t="str"/>
      <x:c r="L63" s="45" t="str"/>
      <x:c r="M63" s="45" t="str"/>
      <x:c r="N63" s="30" t="str">
        <x:v>현재 @Min 유무 확인</x:v>
      </x:c>
    </x:row>
    <x:row r="64" ht="48" customHeight="1">
      <x:c r="A64" s="42" t="str">
        <x:v>TC-061</x:v>
      </x:c>
      <x:c r="B64" s="30" t="str">
        <x:v>모집게시판</x:v>
      </x:c>
      <x:c r="C64" s="30" t="str">
        <x:v>작성</x:v>
      </x:c>
      <x:c r="D64" s="42" t="str">
        <x:v>입력오류</x:v>
      </x:c>
      <x:c r="E64" s="42" t="str">
        <x:v>높음</x:v>
      </x:c>
      <x:c r="F64" s="30" t="str">
        <x:v>POST /api/joins/reform</x:v>
      </x:c>
      <x:c r="G64" s="30" t="str">
        <x:v>활동 날짜 누락/역전</x:v>
      </x:c>
      <x:c r="H64" s="30" t="str">
        <x:v>로그인 상태</x:v>
      </x:c>
      <x:c r="I64" s="30" t="str">
        <x:v>날짜 누락, 시작일&gt;종료일</x:v>
      </x:c>
      <x:c r="J64" s="30" t="str">
        <x:v>400, 생성 없음</x:v>
      </x:c>
      <x:c r="K64" s="44" t="str"/>
      <x:c r="L64" s="45" t="str"/>
      <x:c r="M64" s="45" t="str"/>
      <x:c r="N64" s="30" t="str"/>
    </x:row>
    <x:row r="65" ht="48" customHeight="1">
      <x:c r="A65" s="42" t="str">
        <x:v>TC-062</x:v>
      </x:c>
      <x:c r="B65" s="30" t="str">
        <x:v>모집게시판</x:v>
      </x:c>
      <x:c r="C65" s="30" t="str">
        <x:v>목록</x:v>
      </x:c>
      <x:c r="D65" s="42" t="str">
        <x:v>정상</x:v>
      </x:c>
      <x:c r="E65" s="42" t="str">
        <x:v>보통</x:v>
      </x:c>
      <x:c r="F65" s="30" t="str">
        <x:v>GET /api/joins?category=PLOG&amp;page=1</x:v>
      </x:c>
      <x:c r="G65" s="30" t="str">
        <x:v>플로깅 목록</x:v>
      </x:c>
      <x:c r="H65" s="30" t="str">
        <x:v>PLOG/PLANT 데이터 존재</x:v>
      </x:c>
      <x:c r="I65" s="30" t="str">
        <x:v>category=PLOG 요청</x:v>
      </x:c>
      <x:c r="J65" s="30" t="str">
        <x:v>PLOG·DELETED='N'만 반환</x:v>
      </x:c>
      <x:c r="K65" s="44" t="str"/>
      <x:c r="L65" s="45" t="str"/>
      <x:c r="M65" s="45" t="str"/>
      <x:c r="N65" s="30" t="str"/>
    </x:row>
    <x:row r="66" ht="48" customHeight="1">
      <x:c r="A66" s="42" t="str">
        <x:v>TC-063</x:v>
      </x:c>
      <x:c r="B66" s="30" t="str">
        <x:v>모집게시판</x:v>
      </x:c>
      <x:c r="C66" s="30" t="str">
        <x:v>목록</x:v>
      </x:c>
      <x:c r="D66" s="42" t="str">
        <x:v>정상</x:v>
      </x:c>
      <x:c r="E66" s="42" t="str">
        <x:v>보통</x:v>
      </x:c>
      <x:c r="F66" s="30" t="str">
        <x:v>GET /api/joins?category=PLANT&amp;page=1</x:v>
      </x:c>
      <x:c r="G66" s="30" t="str">
        <x:v>식목 목록</x:v>
      </x:c>
      <x:c r="H66" s="30" t="str">
        <x:v>PLOG/PLANT 데이터 존재</x:v>
      </x:c>
      <x:c r="I66" s="30" t="str">
        <x:v>category=PLANT 요청</x:v>
      </x:c>
      <x:c r="J66" s="30" t="str">
        <x:v>PLANT·DELETED='N'만 반환</x:v>
      </x:c>
      <x:c r="K66" s="44" t="str"/>
      <x:c r="L66" s="45" t="str"/>
      <x:c r="M66" s="45" t="str"/>
      <x:c r="N66" s="30" t="str"/>
    </x:row>
    <x:row r="67" ht="48" customHeight="1">
      <x:c r="A67" s="42" t="str">
        <x:v>TC-064</x:v>
      </x:c>
      <x:c r="B67" s="30" t="str">
        <x:v>모집게시판</x:v>
      </x:c>
      <x:c r="C67" s="30" t="str">
        <x:v>목록</x:v>
      </x:c>
      <x:c r="D67" s="42" t="str">
        <x:v>입력오류</x:v>
      </x:c>
      <x:c r="E67" s="42" t="str">
        <x:v>보통</x:v>
      </x:c>
      <x:c r="F67" s="30" t="str">
        <x:v>GET /api/joins?category=INVALID</x:v>
      </x:c>
      <x:c r="G67" s="30" t="str">
        <x:v>잘못된 분류</x:v>
      </x:c>
      <x:c r="H67" s="30" t="str">
        <x:v>-</x:v>
      </x:c>
      <x:c r="I67" s="30" t="str">
        <x:v>지원하지 않는 category</x:v>
      </x:c>
      <x:c r="J67" s="30" t="str">
        <x:v>400 또는 빈 목록, 500 금지</x:v>
      </x:c>
      <x:c r="K67" s="44" t="str"/>
      <x:c r="L67" s="45" t="str"/>
      <x:c r="M67" s="45" t="str"/>
      <x:c r="N67" s="30" t="str"/>
    </x:row>
    <x:row r="68" ht="48" customHeight="1">
      <x:c r="A68" s="42" t="str">
        <x:v>TC-065</x:v>
      </x:c>
      <x:c r="B68" s="30" t="str">
        <x:v>모집게시판</x:v>
      </x:c>
      <x:c r="C68" s="30" t="str">
        <x:v>목록</x:v>
      </x:c>
      <x:c r="D68" s="42" t="str">
        <x:v>정상</x:v>
      </x:c>
      <x:c r="E68" s="42" t="str">
        <x:v>낮음</x:v>
      </x:c>
      <x:c r="F68" s="30" t="str">
        <x:v>GET /api/joins?category=PLOG&amp;keyword=서울</x:v>
      </x:c>
      <x:c r="G68" s="30" t="str">
        <x:v>키워드 검색</x:v>
      </x:c>
      <x:c r="H68" s="30" t="str">
        <x:v>검색 데이터 존재</x:v>
      </x:c>
      <x:c r="I68" s="30" t="str">
        <x:v>keyword 전송</x:v>
      </x:c>
      <x:c r="J68" s="30" t="str">
        <x:v>정의된 검색 범위와 count 일치</x:v>
      </x:c>
      <x:c r="K68" s="44" t="str"/>
      <x:c r="L68" s="45" t="str"/>
      <x:c r="M68" s="45" t="str"/>
      <x:c r="N68" s="30" t="str"/>
    </x:row>
    <x:row r="69" ht="48" customHeight="1">
      <x:c r="A69" s="42" t="str">
        <x:v>TC-066</x:v>
      </x:c>
      <x:c r="B69" s="30" t="str">
        <x:v>모집게시판</x:v>
      </x:c>
      <x:c r="C69" s="30" t="str">
        <x:v>목록</x:v>
      </x:c>
      <x:c r="D69" s="42" t="str">
        <x:v>경계</x:v>
      </x:c>
      <x:c r="E69" s="42" t="str">
        <x:v>보통</x:v>
      </x:c>
      <x:c r="F69" s="30" t="str">
        <x:v>GET /api/joins?category=PLOG&amp;page=-1</x:v>
      </x:c>
      <x:c r="G69" s="30" t="str">
        <x:v>음수 페이지</x:v>
      </x:c>
      <x:c r="H69" s="30" t="str">
        <x:v>-</x:v>
      </x:c>
      <x:c r="I69" s="30" t="str">
        <x:v>page=-1</x:v>
      </x:c>
      <x:c r="J69" s="30" t="str">
        <x:v>1페이지 보정 또는 400, 500 금지</x:v>
      </x:c>
      <x:c r="K69" s="44" t="str"/>
      <x:c r="L69" s="45" t="str"/>
      <x:c r="M69" s="45" t="str"/>
      <x:c r="N69" s="30" t="str"/>
    </x:row>
    <x:row r="70" ht="48" customHeight="1">
      <x:c r="A70" s="42" t="str">
        <x:v>TC-067</x:v>
      </x:c>
      <x:c r="B70" s="30" t="str">
        <x:v>모집게시판</x:v>
      </x:c>
      <x:c r="C70" s="30" t="str">
        <x:v>상세</x:v>
      </x:c>
      <x:c r="D70" s="42" t="str">
        <x:v>정상</x:v>
      </x:c>
      <x:c r="E70" s="42" t="str">
        <x:v>보통</x:v>
      </x:c>
      <x:c r="F70" s="30" t="str">
        <x:v>GET /api/joins/{joinNo}</x:v>
      </x:c>
      <x:c r="G70" s="30" t="str">
        <x:v>정상 상세 조회</x:v>
      </x:c>
      <x:c r="H70" s="30" t="str">
        <x:v>정상 글 + 파일</x:v>
      </x:c>
      <x:c r="I70" s="30" t="str">
        <x:v>GET 요청</x:v>
      </x:c>
      <x:c r="J70" s="30" t="str">
        <x:v>200, 모집장/현재인원/파일 포함</x:v>
      </x:c>
      <x:c r="K70" s="44" t="str"/>
      <x:c r="L70" s="45" t="str"/>
      <x:c r="M70" s="45" t="str"/>
      <x:c r="N70" s="30" t="str"/>
    </x:row>
    <x:row r="71" ht="48" customHeight="1">
      <x:c r="A71" s="42" t="str">
        <x:v>TC-068</x:v>
      </x:c>
      <x:c r="B71" s="30" t="str">
        <x:v>모집게시판</x:v>
      </x:c>
      <x:c r="C71" s="30" t="str">
        <x:v>상세</x:v>
      </x:c>
      <x:c r="D71" s="42" t="str">
        <x:v>입력오류</x:v>
      </x:c>
      <x:c r="E71" s="42" t="str">
        <x:v>보통</x:v>
      </x:c>
      <x:c r="F71" s="30" t="str">
        <x:v>GET /api/joins/999999</x:v>
      </x:c>
      <x:c r="G71" s="30" t="str">
        <x:v>없는 글</x:v>
      </x:c>
      <x:c r="H71" s="30" t="str">
        <x:v>-</x:v>
      </x:c>
      <x:c r="I71" s="30" t="str">
        <x:v>없는 joinNo</x:v>
      </x:c>
      <x:c r="J71" s="30" t="str">
        <x:v>404 또는 제어된 4xx</x:v>
      </x:c>
      <x:c r="K71" s="44" t="str"/>
      <x:c r="L71" s="45" t="str"/>
      <x:c r="M71" s="45" t="str"/>
      <x:c r="N71" s="30" t="str"/>
    </x:row>
    <x:row r="72" ht="48" customHeight="1">
      <x:c r="A72" s="42" t="str">
        <x:v>TC-069</x:v>
      </x:c>
      <x:c r="B72" s="30" t="str">
        <x:v>모집게시판</x:v>
      </x:c>
      <x:c r="C72" s="30" t="str">
        <x:v>수정</x:v>
      </x:c>
      <x:c r="D72" s="42" t="str">
        <x:v>정상</x:v>
      </x:c>
      <x:c r="E72" s="42" t="str">
        <x:v>높음</x:v>
      </x:c>
      <x:c r="F72" s="30" t="str">
        <x:v>PATCH /api/joins/{joinNo}</x:v>
      </x:c>
      <x:c r="G72" s="30" t="str">
        <x:v>파일 없이 내용 수정</x:v>
      </x:c>
      <x:c r="H72" s="30" t="str">
        <x:v>본인 글 + 기존 첨부</x:v>
      </x:c>
      <x:c r="I72" s="30" t="str">
        <x:v>본문 joinNo 포함/미포함 각각, file 미첨부</x:v>
      </x:c>
      <x:c r="J72" s="30" t="str">
        <x:v>200, 기존 파일 유지, 내용 변경</x:v>
      </x:c>
      <x:c r="K72" s="44" t="str"/>
      <x:c r="L72" s="45" t="str"/>
      <x:c r="M72" s="45" t="str"/>
      <x:c r="N72" s="30" t="str">
        <x:v>null 파일 처리와 body joinNo 참조 확인</x:v>
      </x:c>
    </x:row>
    <x:row r="73" ht="48" customHeight="1">
      <x:c r="A73" s="42" t="str">
        <x:v>TC-070</x:v>
      </x:c>
      <x:c r="B73" s="30" t="str">
        <x:v>모집게시판</x:v>
      </x:c>
      <x:c r="C73" s="30" t="str">
        <x:v>수정</x:v>
      </x:c>
      <x:c r="D73" s="42" t="str">
        <x:v>정상</x:v>
      </x:c>
      <x:c r="E73" s="42" t="str">
        <x:v>보통</x:v>
      </x:c>
      <x:c r="F73" s="30" t="str">
        <x:v>PATCH /api/joins/{joinNo}</x:v>
      </x:c>
      <x:c r="G73" s="30" t="str">
        <x:v>새 파일로 교체</x:v>
      </x:c>
      <x:c r="H73" s="30" t="str">
        <x:v>본인 글 + 기존 첨부</x:v>
      </x:c>
      <x:c r="I73" s="30" t="str">
        <x:v>새 file과 수정값 전송</x:v>
      </x:c>
      <x:c r="J73" s="30" t="str">
        <x:v>200, 파일 정책대로 교체</x:v>
      </x:c>
      <x:c r="K73" s="44" t="str"/>
      <x:c r="L73" s="45" t="str"/>
      <x:c r="M73" s="45" t="str"/>
      <x:c r="N73" s="30" t="str"/>
    </x:row>
    <x:row r="74" ht="48" customHeight="1">
      <x:c r="A74" s="42" t="str">
        <x:v>TC-071</x:v>
      </x:c>
      <x:c r="B74" s="30" t="str">
        <x:v>모집게시판</x:v>
      </x:c>
      <x:c r="C74" s="30" t="str">
        <x:v>수정</x:v>
      </x:c>
      <x:c r="D74" s="42" t="str">
        <x:v>소유권</x:v>
      </x:c>
      <x:c r="E74" s="42" t="str">
        <x:v>높음</x:v>
      </x:c>
      <x:c r="F74" s="30" t="str">
        <x:v>PATCH /api/joins/{joinNo}</x:v>
      </x:c>
      <x:c r="G74" s="30" t="str">
        <x:v>타인 모집글 수정</x:v>
      </x:c>
      <x:c r="H74" s="30" t="str">
        <x:v>B 글, A 로그인</x:v>
      </x:c>
      <x:c r="I74" s="30" t="str">
        <x:v>A 토큰으로 수정</x:v>
      </x:c>
      <x:c r="J74" s="30" t="str">
        <x:v>403, 내용/파일 변경 없음</x:v>
      </x:c>
      <x:c r="K74" s="44" t="str"/>
      <x:c r="L74" s="45" t="str"/>
      <x:c r="M74" s="45" t="str"/>
      <x:c r="N74" s="30" t="str"/>
    </x:row>
    <x:row r="75" ht="48" customHeight="1">
      <x:c r="A75" s="42" t="str">
        <x:v>TC-072</x:v>
      </x:c>
      <x:c r="B75" s="30" t="str">
        <x:v>모집게시판</x:v>
      </x:c>
      <x:c r="C75" s="30" t="str">
        <x:v>삭제</x:v>
      </x:c>
      <x:c r="D75" s="42" t="str">
        <x:v>정상</x:v>
      </x:c>
      <x:c r="E75" s="42" t="str">
        <x:v>높음</x:v>
      </x:c>
      <x:c r="F75" s="30" t="str">
        <x:v>DELETE /api/joins/{joinNo}</x:v>
      </x:c>
      <x:c r="G75" s="30" t="str">
        <x:v>본인 모집글 삭제</x:v>
      </x:c>
      <x:c r="H75" s="30" t="str">
        <x:v>본인 글</x:v>
      </x:c>
      <x:c r="I75" s="30" t="str">
        <x:v>삭제 후 DB/목록 확인</x:v>
      </x:c>
      <x:c r="J75" s="30" t="str">
        <x:v>204, DELETED='Y', 목록 제외</x:v>
      </x:c>
      <x:c r="K75" s="44" t="str"/>
      <x:c r="L75" s="45" t="str"/>
      <x:c r="M75" s="45" t="str"/>
      <x:c r="N75" s="30" t="str"/>
    </x:row>
    <x:row r="76" ht="48" customHeight="1">
      <x:c r="A76" s="42" t="str">
        <x:v>TC-073</x:v>
      </x:c>
      <x:c r="B76" s="30" t="str">
        <x:v>모집게시판</x:v>
      </x:c>
      <x:c r="C76" s="30" t="str">
        <x:v>삭제</x:v>
      </x:c>
      <x:c r="D76" s="42" t="str">
        <x:v>소유권</x:v>
      </x:c>
      <x:c r="E76" s="42" t="str">
        <x:v>높음</x:v>
      </x:c>
      <x:c r="F76" s="30" t="str">
        <x:v>DELETE /api/joins/{joinNo}</x:v>
      </x:c>
      <x:c r="G76" s="30" t="str">
        <x:v>타인 모집글 삭제</x:v>
      </x:c>
      <x:c r="H76" s="30" t="str">
        <x:v>B 글, A 로그인</x:v>
      </x:c>
      <x:c r="I76" s="30" t="str">
        <x:v>A 토큰으로 삭제</x:v>
      </x:c>
      <x:c r="J76" s="30" t="str">
        <x:v>403, 글/파일 유지</x:v>
      </x:c>
      <x:c r="K76" s="44" t="str"/>
      <x:c r="L76" s="45" t="str"/>
      <x:c r="M76" s="45" t="str"/>
      <x:c r="N76" s="30" t="str"/>
    </x:row>
    <x:row r="77" ht="48" customHeight="1">
      <x:c r="A77" s="42" t="str">
        <x:v>TC-074</x:v>
      </x:c>
      <x:c r="B77" s="30" t="str">
        <x:v>참여요청</x:v>
      </x:c>
      <x:c r="C77" s="30" t="str">
        <x:v>신청</x:v>
      </x:c>
      <x:c r="D77" s="42" t="str">
        <x:v>정상</x:v>
      </x:c>
      <x:c r="E77" s="42" t="str">
        <x:v>높음</x:v>
      </x:c>
      <x:c r="F77" s="30" t="str">
        <x:v>POST /api/request/{joinNo}</x:v>
      </x:c>
      <x:c r="G77" s="30" t="str">
        <x:v>정상 참여 신청</x:v>
      </x:c>
      <x:c r="H77" s="30" t="str">
        <x:v>로그인 + 정원 여유 + 미신청</x:v>
      </x:c>
      <x:c r="I77" s="30" t="str">
        <x:v>aspiration 2~200자 전송</x:v>
      </x:c>
      <x:c r="J77" s="30" t="str">
        <x:v>200/201, STATUS='WAITING'</x:v>
      </x:c>
      <x:c r="K77" s="44" t="str"/>
      <x:c r="L77" s="45" t="str"/>
      <x:c r="M77" s="45" t="str"/>
      <x:c r="N77" s="30" t="str"/>
    </x:row>
    <x:row r="78" ht="48" customHeight="1">
      <x:c r="A78" s="42" t="str">
        <x:v>TC-075</x:v>
      </x:c>
      <x:c r="B78" s="30" t="str">
        <x:v>참여요청</x:v>
      </x:c>
      <x:c r="C78" s="30" t="str">
        <x:v>신청</x:v>
      </x:c>
      <x:c r="D78" s="42" t="str">
        <x:v>입력오류</x:v>
      </x:c>
      <x:c r="E78" s="42" t="str">
        <x:v>보통</x:v>
      </x:c>
      <x:c r="F78" s="30" t="str">
        <x:v>POST /api/request/{joinNo}</x:v>
      </x:c>
      <x:c r="G78" s="30" t="str">
        <x:v>포부 공백</x:v>
      </x:c>
      <x:c r="H78" s="30" t="str">
        <x:v>로그인 상태</x:v>
      </x:c>
      <x:c r="I78" s="30" t="str">
        <x:v>aspiration="" 전송</x:v>
      </x:c>
      <x:c r="J78" s="30" t="str">
        <x:v>400, 요청 미생성</x:v>
      </x:c>
      <x:c r="K78" s="44" t="str"/>
      <x:c r="L78" s="45" t="str"/>
      <x:c r="M78" s="45" t="str"/>
      <x:c r="N78" s="30" t="str"/>
    </x:row>
    <x:row r="79" ht="48" customHeight="1">
      <x:c r="A79" s="42" t="str">
        <x:v>TC-076</x:v>
      </x:c>
      <x:c r="B79" s="30" t="str">
        <x:v>참여요청</x:v>
      </x:c>
      <x:c r="C79" s="30" t="str">
        <x:v>신청</x:v>
      </x:c>
      <x:c r="D79" s="42" t="str">
        <x:v>경계</x:v>
      </x:c>
      <x:c r="E79" s="42" t="str">
        <x:v>보통</x:v>
      </x:c>
      <x:c r="F79" s="30" t="str">
        <x:v>POST /api/request/{joinNo}</x:v>
      </x:c>
      <x:c r="G79" s="30" t="str">
        <x:v>포부 최대 길이</x:v>
      </x:c>
      <x:c r="H79" s="30" t="str">
        <x:v>로그인 상태</x:v>
      </x:c>
      <x:c r="I79" s="30" t="str">
        <x:v>200자/201자 전송</x:v>
      </x:c>
      <x:c r="J79" s="30" t="str">
        <x:v>200자 성공, 201자 400</x:v>
      </x:c>
      <x:c r="K79" s="44" t="str"/>
      <x:c r="L79" s="45" t="str"/>
      <x:c r="M79" s="45" t="str"/>
      <x:c r="N79" s="30" t="str"/>
    </x:row>
    <x:row r="80" ht="48" customHeight="1">
      <x:c r="A80" s="42" t="str">
        <x:v>TC-077</x:v>
      </x:c>
      <x:c r="B80" s="30" t="str">
        <x:v>참여요청</x:v>
      </x:c>
      <x:c r="C80" s="30" t="str">
        <x:v>신청</x:v>
      </x:c>
      <x:c r="D80" s="42" t="str">
        <x:v>데이터무결성</x:v>
      </x:c>
      <x:c r="E80" s="42" t="str">
        <x:v>높음</x:v>
      </x:c>
      <x:c r="F80" s="30" t="str">
        <x:v>POST /api/request/{joinNo}</x:v>
      </x:c>
      <x:c r="G80" s="30" t="str">
        <x:v>중복 신청</x:v>
      </x:c>
      <x:c r="H80" s="30" t="str">
        <x:v>같은 사용자 기존 요청</x:v>
      </x:c>
      <x:c r="I80" s="30" t="str">
        <x:v>동일 joinNo 재신청</x:v>
      </x:c>
      <x:c r="J80" s="30" t="str">
        <x:v>409, 요청 1건 유지</x:v>
      </x:c>
      <x:c r="K80" s="44" t="str"/>
      <x:c r="L80" s="45" t="str"/>
      <x:c r="M80" s="45" t="str"/>
      <x:c r="N80" s="30" t="str"/>
    </x:row>
    <x:row r="81" ht="48" customHeight="1">
      <x:c r="A81" s="42" t="str">
        <x:v>TC-078</x:v>
      </x:c>
      <x:c r="B81" s="30" t="str">
        <x:v>참여요청</x:v>
      </x:c>
      <x:c r="C81" s="30" t="str">
        <x:v>신청</x:v>
      </x:c>
      <x:c r="D81" s="42" t="str">
        <x:v>경계</x:v>
      </x:c>
      <x:c r="E81" s="42" t="str">
        <x:v>높음</x:v>
      </x:c>
      <x:c r="F81" s="30" t="str">
        <x:v>POST /api/request/{joinNo}</x:v>
      </x:c>
      <x:c r="G81" s="30" t="str">
        <x:v>정원 마감 모임</x:v>
      </x:c>
      <x:c r="H81" s="30" t="str">
        <x:v>currentCount &gt;= participants</x:v>
      </x:c>
      <x:c r="I81" s="30" t="str">
        <x:v>신규 신청</x:v>
      </x:c>
      <x:c r="J81" s="30" t="str">
        <x:v>409, 모집 완료 메시지, 미생성</x:v>
      </x:c>
      <x:c r="K81" s="44" t="str"/>
      <x:c r="L81" s="45" t="str"/>
      <x:c r="M81" s="45" t="str"/>
      <x:c r="N81" s="30" t="str"/>
    </x:row>
    <x:row r="82" ht="48" customHeight="1">
      <x:c r="A82" s="42" t="str">
        <x:v>TC-079</x:v>
      </x:c>
      <x:c r="B82" s="30" t="str">
        <x:v>참여요청</x:v>
      </x:c>
      <x:c r="C82" s="30" t="str">
        <x:v>신청</x:v>
      </x:c>
      <x:c r="D82" s="42" t="str">
        <x:v>데이터무결성</x:v>
      </x:c>
      <x:c r="E82" s="42" t="str">
        <x:v>보통</x:v>
      </x:c>
      <x:c r="F82" s="30" t="str">
        <x:v>POST /api/request/{joinNo}</x:v>
      </x:c>
      <x:c r="G82" s="30" t="str">
        <x:v>모집장 자기 글 재신청</x:v>
      </x:c>
      <x:c r="H82" s="30" t="str">
        <x:v>모집장 ACCEPTED 행 존재</x:v>
      </x:c>
      <x:c r="I82" s="30" t="str">
        <x:v>모집장이 동일 joinNo 신청</x:v>
      </x:c>
      <x:c r="J82" s="30" t="str">
        <x:v>409, 중복/자기 신청 차단</x:v>
      </x:c>
      <x:c r="K82" s="44" t="str"/>
      <x:c r="L82" s="45" t="str"/>
      <x:c r="M82" s="45" t="str"/>
      <x:c r="N82" s="30" t="str"/>
    </x:row>
    <x:row r="83" ht="48" customHeight="1">
      <x:c r="A83" s="42" t="str">
        <x:v>TC-080</x:v>
      </x:c>
      <x:c r="B83" s="30" t="str">
        <x:v>참여요청</x:v>
      </x:c>
      <x:c r="C83" s="30" t="str">
        <x:v>수락</x:v>
      </x:c>
      <x:c r="D83" s="42" t="str">
        <x:v>정상</x:v>
      </x:c>
      <x:c r="E83" s="42" t="str">
        <x:v>높음</x:v>
      </x:c>
      <x:c r="F83" s="30" t="str">
        <x:v>PATCH /api/request/{requestNo}</x:v>
      </x:c>
      <x:c r="G83" s="30" t="str">
        <x:v>모집장 수락</x:v>
      </x:c>
      <x:c r="H83" s="30" t="str">
        <x:v>WAITING 요청 + 모집장</x:v>
      </x:c>
      <x:c r="I83" s="30" t="str">
        <x:v>수락 요청</x:v>
      </x:c>
      <x:c r="J83" s="30" t="str">
        <x:v>200, STATUS='ACCEPTED', 현재인원 증가</x:v>
      </x:c>
      <x:c r="K83" s="44" t="str"/>
      <x:c r="L83" s="45" t="str"/>
      <x:c r="M83" s="45" t="str"/>
      <x:c r="N83" s="30" t="str"/>
    </x:row>
    <x:row r="84" ht="48" customHeight="1">
      <x:c r="A84" s="42" t="str">
        <x:v>TC-081</x:v>
      </x:c>
      <x:c r="B84" s="30" t="str">
        <x:v>참여요청</x:v>
      </x:c>
      <x:c r="C84" s="30" t="str">
        <x:v>수락</x:v>
      </x:c>
      <x:c r="D84" s="42" t="str">
        <x:v>인가</x:v>
      </x:c>
      <x:c r="E84" s="42" t="str">
        <x:v>높음</x:v>
      </x:c>
      <x:c r="F84" s="30" t="str">
        <x:v>PATCH /api/request/{requestNo}</x:v>
      </x:c>
      <x:c r="G84" s="30" t="str">
        <x:v>비모집장 수락</x:v>
      </x:c>
      <x:c r="H84" s="30" t="str">
        <x:v>WAITING 요청 + 일반 참가자</x:v>
      </x:c>
      <x:c r="I84" s="30" t="str">
        <x:v>수락 요청</x:v>
      </x:c>
      <x:c r="J84" s="30" t="str">
        <x:v>403, WAITING 유지</x:v>
      </x:c>
      <x:c r="K84" s="44" t="str"/>
      <x:c r="L84" s="45" t="str"/>
      <x:c r="M84" s="45" t="str"/>
      <x:c r="N84" s="30" t="str"/>
    </x:row>
    <x:row r="85" ht="48" customHeight="1">
      <x:c r="A85" s="42" t="str">
        <x:v>TC-082</x:v>
      </x:c>
      <x:c r="B85" s="30" t="str">
        <x:v>참여요청</x:v>
      </x:c>
      <x:c r="C85" s="30" t="str">
        <x:v>수락</x:v>
      </x:c>
      <x:c r="D85" s="42" t="str">
        <x:v>경계</x:v>
      </x:c>
      <x:c r="E85" s="42" t="str">
        <x:v>보통</x:v>
      </x:c>
      <x:c r="F85" s="30" t="str">
        <x:v>PATCH /api/request/{requestNo}</x:v>
      </x:c>
      <x:c r="G85" s="30" t="str">
        <x:v>이미 수락된 요청 재수락</x:v>
      </x:c>
      <x:c r="H85" s="30" t="str">
        <x:v>ACCEPTED 요청</x:v>
      </x:c>
      <x:c r="I85" s="30" t="str">
        <x:v>재수락</x:v>
      </x:c>
      <x:c r="J85" s="30" t="str">
        <x:v>409, 상태 유지</x:v>
      </x:c>
      <x:c r="K85" s="44" t="str"/>
      <x:c r="L85" s="45" t="str"/>
      <x:c r="M85" s="45" t="str"/>
      <x:c r="N85" s="30" t="str"/>
    </x:row>
    <x:row r="86" ht="48" customHeight="1">
      <x:c r="A86" s="42" t="str">
        <x:v>TC-083</x:v>
      </x:c>
      <x:c r="B86" s="30" t="str">
        <x:v>참여요청</x:v>
      </x:c>
      <x:c r="C86" s="30" t="str">
        <x:v>거절</x:v>
      </x:c>
      <x:c r="D86" s="42" t="str">
        <x:v>정상</x:v>
      </x:c>
      <x:c r="E86" s="42" t="str">
        <x:v>높음</x:v>
      </x:c>
      <x:c r="F86" s="30" t="str">
        <x:v>DELETE /api/request/{requestNo}</x:v>
      </x:c>
      <x:c r="G86" s="30" t="str">
        <x:v>모집장 거절</x:v>
      </x:c>
      <x:c r="H86" s="30" t="str">
        <x:v>WAITING 요청 + 모집장</x:v>
      </x:c>
      <x:c r="I86" s="30" t="str">
        <x:v>거절 요청</x:v>
      </x:c>
      <x:c r="J86" s="30" t="str">
        <x:v>200, STATUS='DENIED'</x:v>
      </x:c>
      <x:c r="K86" s="44" t="str"/>
      <x:c r="L86" s="45" t="str"/>
      <x:c r="M86" s="45" t="str"/>
      <x:c r="N86" s="30" t="str"/>
    </x:row>
    <x:row r="87" ht="48" customHeight="1">
      <x:c r="A87" s="42" t="str">
        <x:v>TC-084</x:v>
      </x:c>
      <x:c r="B87" s="30" t="str">
        <x:v>참여요청</x:v>
      </x:c>
      <x:c r="C87" s="30" t="str">
        <x:v>거절</x:v>
      </x:c>
      <x:c r="D87" s="42" t="str">
        <x:v>인가</x:v>
      </x:c>
      <x:c r="E87" s="42" t="str">
        <x:v>높음</x:v>
      </x:c>
      <x:c r="F87" s="30" t="str">
        <x:v>DELETE /api/request/{requestNo}</x:v>
      </x:c>
      <x:c r="G87" s="30" t="str">
        <x:v>비모집장 거절</x:v>
      </x:c>
      <x:c r="H87" s="30" t="str">
        <x:v>WAITING 요청 + 타인</x:v>
      </x:c>
      <x:c r="I87" s="30" t="str">
        <x:v>거절 요청</x:v>
      </x:c>
      <x:c r="J87" s="30" t="str">
        <x:v>403, 상태 유지</x:v>
      </x:c>
      <x:c r="K87" s="44" t="str"/>
      <x:c r="L87" s="45" t="str"/>
      <x:c r="M87" s="45" t="str"/>
      <x:c r="N87" s="30" t="str"/>
    </x:row>
    <x:row r="88" ht="48" customHeight="1">
      <x:c r="A88" s="42" t="str">
        <x:v>TC-085</x:v>
      </x:c>
      <x:c r="B88" s="30" t="str">
        <x:v>참여요청</x:v>
      </x:c>
      <x:c r="C88" s="30" t="str">
        <x:v>취소</x:v>
      </x:c>
      <x:c r="D88" s="42" t="str">
        <x:v>정상</x:v>
      </x:c>
      <x:c r="E88" s="42" t="str">
        <x:v>보통</x:v>
      </x:c>
      <x:c r="F88" s="30" t="str">
        <x:v>PATCH /api/request/cancel/{requestNo}</x:v>
      </x:c>
      <x:c r="G88" s="30" t="str">
        <x:v>본인 WAITING 신청 취소</x:v>
      </x:c>
      <x:c r="H88" s="30" t="str">
        <x:v>본인 WAITING 요청</x:v>
      </x:c>
      <x:c r="I88" s="30" t="str">
        <x:v>취소 요청</x:v>
      </x:c>
      <x:c r="J88" s="30" t="str">
        <x:v>200, 요청 삭제 또는 CANCELED 정책 반영</x:v>
      </x:c>
      <x:c r="K88" s="44" t="str"/>
      <x:c r="L88" s="45" t="str"/>
      <x:c r="M88" s="45" t="str"/>
      <x:c r="N88" s="30" t="str"/>
    </x:row>
    <x:row r="89" ht="48" customHeight="1">
      <x:c r="A89" s="42" t="str">
        <x:v>TC-086</x:v>
      </x:c>
      <x:c r="B89" s="30" t="str">
        <x:v>참여요청</x:v>
      </x:c>
      <x:c r="C89" s="30" t="str">
        <x:v>취소</x:v>
      </x:c>
      <x:c r="D89" s="42" t="str">
        <x:v>소유권</x:v>
      </x:c>
      <x:c r="E89" s="42" t="str">
        <x:v>높음</x:v>
      </x:c>
      <x:c r="F89" s="30" t="str">
        <x:v>PATCH /api/request/cancel/{requestNo}</x:v>
      </x:c>
      <x:c r="G89" s="30" t="str">
        <x:v>타인 신청 취소</x:v>
      </x:c>
      <x:c r="H89" s="30" t="str">
        <x:v>B 요청, A 로그인</x:v>
      </x:c>
      <x:c r="I89" s="30" t="str">
        <x:v>A 토큰으로 취소</x:v>
      </x:c>
      <x:c r="J89" s="30" t="str">
        <x:v>403, 요청 유지</x:v>
      </x:c>
      <x:c r="K89" s="44" t="str"/>
      <x:c r="L89" s="45" t="str"/>
      <x:c r="M89" s="45" t="str"/>
      <x:c r="N89" s="30" t="str"/>
    </x:row>
    <x:row r="90" ht="48" customHeight="1">
      <x:c r="A90" s="42" t="str">
        <x:v>TC-087</x:v>
      </x:c>
      <x:c r="B90" s="30" t="str">
        <x:v>참여요청</x:v>
      </x:c>
      <x:c r="C90" s="30" t="str">
        <x:v>취소</x:v>
      </x:c>
      <x:c r="D90" s="42" t="str">
        <x:v>데이터무결성</x:v>
      </x:c>
      <x:c r="E90" s="42" t="str">
        <x:v>높음</x:v>
      </x:c>
      <x:c r="F90" s="30" t="str">
        <x:v>PATCH /api/request/cancel/{requestNo}</x:v>
      </x:c>
      <x:c r="G90" s="30" t="str">
        <x:v>이미 ACCEPTED 신청 취소</x:v>
      </x:c>
      <x:c r="H90" s="30" t="str">
        <x:v>본인 ACCEPTED 요청</x:v>
      </x:c>
      <x:c r="I90" s="30" t="str">
        <x:v>취소 요청</x:v>
      </x:c>
      <x:c r="J90" s="30" t="str">
        <x:v>409, 참여 자격/현재인원 유지</x:v>
      </x:c>
      <x:c r="K90" s="44" t="str"/>
      <x:c r="L90" s="45" t="str"/>
      <x:c r="M90" s="45" t="str"/>
      <x:c r="N90" s="30" t="str">
        <x:v>현재 상태 검사 범위 확인</x:v>
      </x:c>
    </x:row>
    <x:row r="91" ht="48" customHeight="1">
      <x:c r="A91" s="42" t="str">
        <x:v>TC-088</x:v>
      </x:c>
      <x:c r="B91" s="30" t="str">
        <x:v>참여요청</x:v>
      </x:c>
      <x:c r="C91" s="30" t="str">
        <x:v>목록</x:v>
      </x:c>
      <x:c r="D91" s="42" t="str">
        <x:v>정상</x:v>
      </x:c>
      <x:c r="E91" s="42" t="str">
        <x:v>보통</x:v>
      </x:c>
      <x:c r="F91" s="30" t="str">
        <x:v>GET /api/users/requests?status=waiting</x:v>
      </x:c>
      <x:c r="G91" s="30" t="str">
        <x:v>모집장이 받은 요청 필터</x:v>
      </x:c>
      <x:c r="H91" s="30" t="str">
        <x:v>여러 상태 요청 존재</x:v>
      </x:c>
      <x:c r="I91" s="30" t="str">
        <x:v>all/waiting/accepted/denied 조회</x:v>
      </x:c>
      <x:c r="J91" s="30" t="str">
        <x:v>본인 모집글 요청만 상태별 반환</x:v>
      </x:c>
      <x:c r="K91" s="44" t="str"/>
      <x:c r="L91" s="45" t="str"/>
      <x:c r="M91" s="45" t="str"/>
      <x:c r="N91" s="30" t="str"/>
    </x:row>
    <x:row r="92" ht="48" customHeight="1">
      <x:c r="A92" s="42" t="str">
        <x:v>TC-089</x:v>
      </x:c>
      <x:c r="B92" s="30" t="str">
        <x:v>참여요청</x:v>
      </x:c>
      <x:c r="C92" s="30" t="str">
        <x:v>마이페이지</x:v>
      </x:c>
      <x:c r="D92" s="42" t="str">
        <x:v>정상</x:v>
      </x:c>
      <x:c r="E92" s="42" t="str">
        <x:v>보통</x:v>
      </x:c>
      <x:c r="F92" s="30" t="str">
        <x:v>GET /api/users/joins?status=accepted</x:v>
      </x:c>
      <x:c r="G92" s="30" t="str">
        <x:v>내가 신청한 모임 필터</x:v>
      </x:c>
      <x:c r="H92" s="30" t="str">
        <x:v>신청 데이터 존재</x:v>
      </x:c>
      <x:c r="I92" s="30" t="str">
        <x:v>상태별 조회</x:v>
      </x:c>
      <x:c r="J92" s="30" t="str">
        <x:v>본인 신청만 상태에 맞게 반환</x:v>
      </x:c>
      <x:c r="K92" s="44" t="str"/>
      <x:c r="L92" s="45" t="str"/>
      <x:c r="M92" s="45" t="str"/>
      <x:c r="N92" s="30" t="str"/>
    </x:row>
    <x:row r="93" ht="48" customHeight="1">
      <x:c r="A93" s="42" t="str">
        <x:v>TC-090</x:v>
      </x:c>
      <x:c r="B93" s="30" t="str">
        <x:v>모임대화</x:v>
      </x:c>
      <x:c r="C93" s="30" t="str">
        <x:v>작성</x:v>
      </x:c>
      <x:c r="D93" s="42" t="str">
        <x:v>정상</x:v>
      </x:c>
      <x:c r="E93" s="42" t="str">
        <x:v>높음</x:v>
      </x:c>
      <x:c r="F93" s="30" t="str">
        <x:v>POST /api/chats</x:v>
      </x:c>
      <x:c r="G93" s="30" t="str">
        <x:v>수락된 참여자 작성</x:v>
      </x:c>
      <x:c r="H93" s="30" t="str">
        <x:v>해당 모임 ACCEPTED</x:v>
      </x:c>
      <x:c r="I93" s="30" t="str">
        <x:v>joinNo와 2~100자 content</x:v>
      </x:c>
      <x:c r="J93" s="30" t="str">
        <x:v>201, 대화 목록 노출</x:v>
      </x:c>
      <x:c r="K93" s="44" t="str"/>
      <x:c r="L93" s="45" t="str"/>
      <x:c r="M93" s="45" t="str"/>
      <x:c r="N93" s="30" t="str"/>
    </x:row>
    <x:row r="94" ht="48" customHeight="1">
      <x:c r="A94" s="42" t="str">
        <x:v>TC-091</x:v>
      </x:c>
      <x:c r="B94" s="30" t="str">
        <x:v>모임대화</x:v>
      </x:c>
      <x:c r="C94" s="30" t="str">
        <x:v>작성</x:v>
      </x:c>
      <x:c r="D94" s="42" t="str">
        <x:v>인가</x:v>
      </x:c>
      <x:c r="E94" s="42" t="str">
        <x:v>높음</x:v>
      </x:c>
      <x:c r="F94" s="30" t="str">
        <x:v>POST /api/chats</x:v>
      </x:c>
      <x:c r="G94" s="30" t="str">
        <x:v>미수락 사용자 작성</x:v>
      </x:c>
      <x:c r="H94" s="30" t="str">
        <x:v>WAITING/DENIED/미신청</x:v>
      </x:c>
      <x:c r="I94" s="30" t="str">
        <x:v>메시지 전송</x:v>
      </x:c>
      <x:c r="J94" s="30" t="str">
        <x:v>403 또는 4xx, 채팅 미생성</x:v>
      </x:c>
      <x:c r="K94" s="44" t="str"/>
      <x:c r="L94" s="45" t="str"/>
      <x:c r="M94" s="45" t="str"/>
      <x:c r="N94" s="30" t="str"/>
    </x:row>
    <x:row r="95" ht="48" customHeight="1">
      <x:c r="A95" s="42" t="str">
        <x:v>TC-092</x:v>
      </x:c>
      <x:c r="B95" s="30" t="str">
        <x:v>모임대화</x:v>
      </x:c>
      <x:c r="C95" s="30" t="str">
        <x:v>작성</x:v>
      </x:c>
      <x:c r="D95" s="42" t="str">
        <x:v>경계</x:v>
      </x:c>
      <x:c r="E95" s="42" t="str">
        <x:v>보통</x:v>
      </x:c>
      <x:c r="F95" s="30" t="str">
        <x:v>POST /api/chats</x:v>
      </x:c>
      <x:c r="G95" s="30" t="str">
        <x:v>내용 길이</x:v>
      </x:c>
      <x:c r="H95" s="30" t="str">
        <x:v>ACCEPTED 사용자</x:v>
      </x:c>
      <x:c r="I95" s="30" t="str">
        <x:v>1/2/100/101자 전송</x:v>
      </x:c>
      <x:c r="J95" s="30" t="str">
        <x:v>2~100자만 통과</x:v>
      </x:c>
      <x:c r="K95" s="44" t="str"/>
      <x:c r="L95" s="45" t="str"/>
      <x:c r="M95" s="45" t="str"/>
      <x:c r="N95" s="30" t="str"/>
    </x:row>
    <x:row r="96" ht="48" customHeight="1">
      <x:c r="A96" s="42" t="str">
        <x:v>TC-093</x:v>
      </x:c>
      <x:c r="B96" s="30" t="str">
        <x:v>모임대화</x:v>
      </x:c>
      <x:c r="C96" s="30" t="str">
        <x:v>목록</x:v>
      </x:c>
      <x:c r="D96" s="42" t="str">
        <x:v>정상</x:v>
      </x:c>
      <x:c r="E96" s="42" t="str">
        <x:v>보통</x:v>
      </x:c>
      <x:c r="F96" s="30" t="str">
        <x:v>GET /api/chats?bno={joinNo}</x:v>
      </x:c>
      <x:c r="G96" s="30" t="str">
        <x:v>참여자 대화 조회</x:v>
      </x:c>
      <x:c r="H96" s="30" t="str">
        <x:v>ACCEPTED + 메시지 존재</x:v>
      </x:c>
      <x:c r="I96" s="30" t="str">
        <x:v>GET 요청</x:v>
      </x:c>
      <x:c r="J96" s="30" t="str">
        <x:v>200, DELETED='N' 메시지 반환</x:v>
      </x:c>
      <x:c r="K96" s="44" t="str"/>
      <x:c r="L96" s="45" t="str"/>
      <x:c r="M96" s="45" t="str"/>
      <x:c r="N96" s="30" t="str"/>
    </x:row>
    <x:row r="97" ht="48" customHeight="1">
      <x:c r="A97" s="42" t="str">
        <x:v>TC-094</x:v>
      </x:c>
      <x:c r="B97" s="30" t="str">
        <x:v>모임대화</x:v>
      </x:c>
      <x:c r="C97" s="30" t="str">
        <x:v>목록</x:v>
      </x:c>
      <x:c r="D97" s="42" t="str">
        <x:v>경계</x:v>
      </x:c>
      <x:c r="E97" s="42" t="str">
        <x:v>보통</x:v>
      </x:c>
      <x:c r="F97" s="30" t="str">
        <x:v>GET /api/chats?bno={joinNo}</x:v>
      </x:c>
      <x:c r="G97" s="30" t="str">
        <x:v>메시지 0건</x:v>
      </x:c>
      <x:c r="H97" s="30" t="str">
        <x:v>ACCEPTED + 채팅 없음</x:v>
      </x:c>
      <x:c r="I97" s="30" t="str">
        <x:v>GET 요청</x:v>
      </x:c>
      <x:c r="J97" s="30" t="str">
        <x:v>200, 빈 배열</x:v>
      </x:c>
      <x:c r="K97" s="44" t="str"/>
      <x:c r="L97" s="45" t="str"/>
      <x:c r="M97" s="45" t="str"/>
      <x:c r="N97" s="30" t="str">
        <x:v>현재 서비스의 빈 목록 오류 처리 확인</x:v>
      </x:c>
    </x:row>
    <x:row r="98" ht="48" customHeight="1">
      <x:c r="A98" s="42" t="str">
        <x:v>TC-095</x:v>
      </x:c>
      <x:c r="B98" s="30" t="str">
        <x:v>모임대화</x:v>
      </x:c>
      <x:c r="C98" s="30" t="str">
        <x:v>수정</x:v>
      </x:c>
      <x:c r="D98" s="42" t="str">
        <x:v>정상</x:v>
      </x:c>
      <x:c r="E98" s="42" t="str">
        <x:v>보통</x:v>
      </x:c>
      <x:c r="F98" s="30" t="str">
        <x:v>PATCH /api/chats/{chatNo}</x:v>
      </x:c>
      <x:c r="G98" s="30" t="str">
        <x:v>본인 메시지 수정</x:v>
      </x:c>
      <x:c r="H98" s="30" t="str">
        <x:v>본인 메시지 + ACCEPTED</x:v>
      </x:c>
      <x:c r="I98" s="30" t="str">
        <x:v>joinNo와 새 content</x:v>
      </x:c>
      <x:c r="J98" s="30" t="str">
        <x:v>200, 내용 변경, UPDATED='Y'</x:v>
      </x:c>
      <x:c r="K98" s="44" t="str"/>
      <x:c r="L98" s="45" t="str"/>
      <x:c r="M98" s="45" t="str"/>
      <x:c r="N98" s="30" t="str"/>
    </x:row>
    <x:row r="99" ht="48" customHeight="1">
      <x:c r="A99" s="42" t="str">
        <x:v>TC-096</x:v>
      </x:c>
      <x:c r="B99" s="30" t="str">
        <x:v>모임대화</x:v>
      </x:c>
      <x:c r="C99" s="30" t="str">
        <x:v>수정</x:v>
      </x:c>
      <x:c r="D99" s="42" t="str">
        <x:v>소유권</x:v>
      </x:c>
      <x:c r="E99" s="42" t="str">
        <x:v>높음</x:v>
      </x:c>
      <x:c r="F99" s="30" t="str">
        <x:v>PATCH /api/chats/{chatNo}</x:v>
      </x:c>
      <x:c r="G99" s="30" t="str">
        <x:v>타인 메시지 수정</x:v>
      </x:c>
      <x:c r="H99" s="30" t="str">
        <x:v>같은 모임 B 메시지, A 로그인</x:v>
      </x:c>
      <x:c r="I99" s="30" t="str">
        <x:v>A 토큰으로 B chatNo 수정</x:v>
      </x:c>
      <x:c r="J99" s="30" t="str">
        <x:v>403, 메시지 불변</x:v>
      </x:c>
      <x:c r="K99" s="44" t="str"/>
      <x:c r="L99" s="45" t="str"/>
      <x:c r="M99" s="45" t="str"/>
      <x:c r="N99" s="30" t="str">
        <x:v>작성자 검증 확인</x:v>
      </x:c>
    </x:row>
    <x:row r="100" ht="48" customHeight="1">
      <x:c r="A100" s="42" t="str">
        <x:v>TC-097</x:v>
      </x:c>
      <x:c r="B100" s="30" t="str">
        <x:v>모임대화</x:v>
      </x:c>
      <x:c r="C100" s="30" t="str">
        <x:v>수정</x:v>
      </x:c>
      <x:c r="D100" s="42" t="str">
        <x:v>데이터무결성</x:v>
      </x:c>
      <x:c r="E100" s="42" t="str">
        <x:v>높음</x:v>
      </x:c>
      <x:c r="F100" s="30" t="str">
        <x:v>PATCH /api/chats/{chatNo}</x:v>
      </x:c>
      <x:c r="G100" s="30" t="str">
        <x:v>다른 모임 chatNo 교차 수정</x:v>
      </x:c>
      <x:c r="H100" s="30" t="str">
        <x:v>A는 모임1 ACCEPTED, chatNo는 모임2</x:v>
      </x:c>
      <x:c r="I100" s="30" t="str">
        <x:v>body joinNo=모임1, path chatNo=모임2</x:v>
      </x:c>
      <x:c r="J100" s="30" t="str">
        <x:v>403/400, 다른 모임 메시지 불변</x:v>
      </x:c>
      <x:c r="K100" s="44" t="str"/>
      <x:c r="L100" s="45" t="str"/>
      <x:c r="M100" s="45" t="str"/>
      <x:c r="N100" s="30" t="str"/>
    </x:row>
    <x:row r="101" ht="48" customHeight="1">
      <x:c r="A101" s="42" t="str">
        <x:v>TC-098</x:v>
      </x:c>
      <x:c r="B101" s="30" t="str">
        <x:v>모임대화</x:v>
      </x:c>
      <x:c r="C101" s="30" t="str">
        <x:v>삭제</x:v>
      </x:c>
      <x:c r="D101" s="42" t="str">
        <x:v>정상</x:v>
      </x:c>
      <x:c r="E101" s="42" t="str">
        <x:v>보통</x:v>
      </x:c>
      <x:c r="F101" s="30" t="str">
        <x:v>DELETE /api/chats/{chatNo}</x:v>
      </x:c>
      <x:c r="G101" s="30" t="str">
        <x:v>본인 메시지 삭제</x:v>
      </x:c>
      <x:c r="H101" s="30" t="str">
        <x:v>본인 메시지</x:v>
      </x:c>
      <x:c r="I101" s="30" t="str">
        <x:v>body joinNo와 함께 삭제</x:v>
      </x:c>
      <x:c r="J101" s="30" t="str">
        <x:v>200, DELETED='Y', 목록 제외</x:v>
      </x:c>
      <x:c r="K101" s="44" t="str"/>
      <x:c r="L101" s="45" t="str"/>
      <x:c r="M101" s="45" t="str"/>
      <x:c r="N101" s="30" t="str"/>
    </x:row>
    <x:row r="102" ht="48" customHeight="1">
      <x:c r="A102" s="42" t="str">
        <x:v>TC-099</x:v>
      </x:c>
      <x:c r="B102" s="30" t="str">
        <x:v>모임대화</x:v>
      </x:c>
      <x:c r="C102" s="30" t="str">
        <x:v>삭제</x:v>
      </x:c>
      <x:c r="D102" s="42" t="str">
        <x:v>소유권</x:v>
      </x:c>
      <x:c r="E102" s="42" t="str">
        <x:v>높음</x:v>
      </x:c>
      <x:c r="F102" s="30" t="str">
        <x:v>DELETE /api/chats/{chatNo}</x:v>
      </x:c>
      <x:c r="G102" s="30" t="str">
        <x:v>타인 메시지 삭제</x:v>
      </x:c>
      <x:c r="H102" s="30" t="str">
        <x:v>같은 모임 B 메시지, A 로그인</x:v>
      </x:c>
      <x:c r="I102" s="30" t="str">
        <x:v>A 토큰으로 삭제</x:v>
      </x:c>
      <x:c r="J102" s="30" t="str">
        <x:v>403, 메시지 유지</x:v>
      </x:c>
      <x:c r="K102" s="44" t="str"/>
      <x:c r="L102" s="45" t="str"/>
      <x:c r="M102" s="45" t="str"/>
      <x:c r="N102" s="30" t="str"/>
    </x:row>
    <x:row r="103" ht="48" customHeight="1">
      <x:c r="A103" s="42" t="str">
        <x:v>TC-100</x:v>
      </x:c>
      <x:c r="B103" s="30" t="str">
        <x:v>모임대화</x:v>
      </x:c>
      <x:c r="C103" s="30" t="str">
        <x:v>삭제</x:v>
      </x:c>
      <x:c r="D103" s="42" t="str">
        <x:v>데이터무결성</x:v>
      </x:c>
      <x:c r="E103" s="42" t="str">
        <x:v>높음</x:v>
      </x:c>
      <x:c r="F103" s="30" t="str">
        <x:v>DELETE /api/chats/{chatNo}</x:v>
      </x:c>
      <x:c r="G103" s="30" t="str">
        <x:v>교차 모임 메시지 삭제</x:v>
      </x:c>
      <x:c r="H103" s="30" t="str">
        <x:v>A는 모임1 ACCEPTED, chatNo는 모임2</x:v>
      </x:c>
      <x:c r="I103" s="30" t="str">
        <x:v>body joinNo=모임1로 삭제</x:v>
      </x:c>
      <x:c r="J103" s="30" t="str">
        <x:v>403/400, 메시지 유지</x:v>
      </x:c>
      <x:c r="K103" s="44" t="str"/>
      <x:c r="L103" s="45" t="str"/>
      <x:c r="M103" s="45" t="str"/>
      <x:c r="N103" s="30" t="str"/>
    </x:row>
    <x:row r="104" ht="48" customHeight="1">
      <x:c r="A104" s="42" t="str">
        <x:v>TC-101</x:v>
      </x:c>
      <x:c r="B104" s="30" t="str">
        <x:v>인증게시판</x:v>
      </x:c>
      <x:c r="C104" s="30" t="str">
        <x:v>작성</x:v>
      </x:c>
      <x:c r="D104" s="42" t="str">
        <x:v>정상</x:v>
      </x:c>
      <x:c r="E104" s="42" t="str">
        <x:v>높음</x:v>
      </x:c>
      <x:c r="F104" s="30" t="str">
        <x:v>POST /api/proof</x:v>
      </x:c>
      <x:c r="G104" s="30" t="str">
        <x:v>모집장 인증글 작성</x:v>
      </x:c>
      <x:c r="H104" s="30" t="str">
        <x:v>모집장 + 미작성 활동</x:v>
      </x:c>
      <x:c r="I104" s="30" t="str">
        <x:v>유효 필드 + 이미지 정확히 2장</x:v>
      </x:c>
      <x:c r="J104" s="30" t="str">
        <x:v>201, 인증글·파일 2건 저장</x:v>
      </x:c>
      <x:c r="K104" s="44" t="str"/>
      <x:c r="L104" s="45" t="str"/>
      <x:c r="M104" s="45" t="str"/>
      <x:c r="N104" s="30" t="str"/>
    </x:row>
    <x:row r="105" ht="48" customHeight="1">
      <x:c r="A105" s="42" t="str">
        <x:v>TC-102</x:v>
      </x:c>
      <x:c r="B105" s="30" t="str">
        <x:v>인증게시판</x:v>
      </x:c>
      <x:c r="C105" s="30" t="str">
        <x:v>작성</x:v>
      </x:c>
      <x:c r="D105" s="42" t="str">
        <x:v>인증</x:v>
      </x:c>
      <x:c r="E105" s="42" t="str">
        <x:v>높음</x:v>
      </x:c>
      <x:c r="F105" s="30" t="str">
        <x:v>POST /api/proof</x:v>
      </x:c>
      <x:c r="G105" s="30" t="str">
        <x:v>비로그인 작성</x:v>
      </x:c>
      <x:c r="H105" s="30" t="str">
        <x:v>로그아웃</x:v>
      </x:c>
      <x:c r="I105" s="30" t="str">
        <x:v>토큰 없이 요청</x:v>
      </x:c>
      <x:c r="J105" s="30" t="str">
        <x:v>401, 생성 없음</x:v>
      </x:c>
      <x:c r="K105" s="44" t="str"/>
      <x:c r="L105" s="45" t="str"/>
      <x:c r="M105" s="45" t="str"/>
      <x:c r="N105" s="30" t="str"/>
    </x:row>
    <x:row r="106" ht="48" customHeight="1">
      <x:c r="A106" s="42" t="str">
        <x:v>TC-103</x:v>
      </x:c>
      <x:c r="B106" s="30" t="str">
        <x:v>인증게시판</x:v>
      </x:c>
      <x:c r="C106" s="30" t="str">
        <x:v>작성</x:v>
      </x:c>
      <x:c r="D106" s="42" t="str">
        <x:v>인가</x:v>
      </x:c>
      <x:c r="E106" s="42" t="str">
        <x:v>높음</x:v>
      </x:c>
      <x:c r="F106" s="30" t="str">
        <x:v>POST /api/proof</x:v>
      </x:c>
      <x:c r="G106" s="30" t="str">
        <x:v>참여자가 인증글 작성</x:v>
      </x:c>
      <x:c r="H106" s="30" t="str">
        <x:v>ACCEPTED지만 모집장 아님</x:v>
      </x:c>
      <x:c r="I106" s="30" t="str">
        <x:v>정상 값 + 이미지 2장</x:v>
      </x:c>
      <x:c r="J106" s="30" t="str">
        <x:v>403, 생성 없음</x:v>
      </x:c>
      <x:c r="K106" s="44" t="str"/>
      <x:c r="L106" s="45" t="str"/>
      <x:c r="M106" s="45" t="str"/>
      <x:c r="N106" s="30" t="str"/>
    </x:row>
    <x:row r="107" ht="48" customHeight="1">
      <x:c r="A107" s="42" t="str">
        <x:v>TC-104</x:v>
      </x:c>
      <x:c r="B107" s="30" t="str">
        <x:v>인증게시판</x:v>
      </x:c>
      <x:c r="C107" s="30" t="str">
        <x:v>작성</x:v>
      </x:c>
      <x:c r="D107" s="42" t="str">
        <x:v>경계</x:v>
      </x:c>
      <x:c r="E107" s="42" t="str">
        <x:v>높음</x:v>
      </x:c>
      <x:c r="F107" s="30" t="str">
        <x:v>POST /api/proof</x:v>
      </x:c>
      <x:c r="G107" s="30" t="str">
        <x:v>첨부 0/1/3장</x:v>
      </x:c>
      <x:c r="H107" s="30" t="str">
        <x:v>모집장</x:v>
      </x:c>
      <x:c r="I107" s="30" t="str">
        <x:v>각 개수로 요청</x:v>
      </x:c>
      <x:c r="J107" s="30" t="str">
        <x:v>정확히 2장만 성공</x:v>
      </x:c>
      <x:c r="K107" s="44" t="str"/>
      <x:c r="L107" s="45" t="str"/>
      <x:c r="M107" s="45" t="str"/>
      <x:c r="N107" s="30" t="str"/>
    </x:row>
    <x:row r="108" ht="48" customHeight="1">
      <x:c r="A108" s="42" t="str">
        <x:v>TC-105</x:v>
      </x:c>
      <x:c r="B108" s="30" t="str">
        <x:v>인증게시판</x:v>
      </x:c>
      <x:c r="C108" s="30" t="str">
        <x:v>작성</x:v>
      </x:c>
      <x:c r="D108" s="42" t="str">
        <x:v>데이터무결성</x:v>
      </x:c>
      <x:c r="E108" s="42" t="str">
        <x:v>높음</x:v>
      </x:c>
      <x:c r="F108" s="30" t="str">
        <x:v>POST /api/proof</x:v>
      </x:c>
      <x:c r="G108" s="30" t="str">
        <x:v>같은 활동 중복 인증</x:v>
      </x:c>
      <x:c r="H108" s="30" t="str">
        <x:v>동일 joinNo 인증글 존재</x:v>
      </x:c>
      <x:c r="I108" s="30" t="str">
        <x:v>재작성</x:v>
      </x:c>
      <x:c r="J108" s="30" t="str">
        <x:v>409 또는 400, 1건 유지</x:v>
      </x:c>
      <x:c r="K108" s="44" t="str"/>
      <x:c r="L108" s="45" t="str"/>
      <x:c r="M108" s="45" t="str"/>
      <x:c r="N108" s="30" t="str"/>
    </x:row>
    <x:row r="109" ht="48" customHeight="1">
      <x:c r="A109" s="42" t="str">
        <x:v>TC-106</x:v>
      </x:c>
      <x:c r="B109" s="30" t="str">
        <x:v>인증게시판</x:v>
      </x:c>
      <x:c r="C109" s="30" t="str">
        <x:v>작성</x:v>
      </x:c>
      <x:c r="D109" s="42" t="str">
        <x:v>경계</x:v>
      </x:c>
      <x:c r="E109" s="42" t="str">
        <x:v>보통</x:v>
      </x:c>
      <x:c r="F109" s="30" t="str">
        <x:v>POST /api/proof</x:v>
      </x:c>
      <x:c r="G109" s="30" t="str">
        <x:v>제목·내용 길이</x:v>
      </x:c>
      <x:c r="H109" s="30" t="str">
        <x:v>모집장</x:v>
      </x:c>
      <x:c r="I109" s="30" t="str">
        <x:v>제목 1/2/20/21, 내용 1/2/2000/2001자</x:v>
      </x:c>
      <x:c r="J109" s="30" t="str">
        <x:v>허용 범위만 성공</x:v>
      </x:c>
      <x:c r="K109" s="44" t="str"/>
      <x:c r="L109" s="45" t="str"/>
      <x:c r="M109" s="45" t="str"/>
      <x:c r="N109" s="30" t="str"/>
    </x:row>
    <x:row r="110" ht="48" customHeight="1">
      <x:c r="A110" s="42" t="str">
        <x:v>TC-107</x:v>
      </x:c>
      <x:c r="B110" s="30" t="str">
        <x:v>인증게시판</x:v>
      </x:c>
      <x:c r="C110" s="30" t="str">
        <x:v>작성</x:v>
      </x:c>
      <x:c r="D110" s="42" t="str">
        <x:v>입력오류</x:v>
      </x:c>
      <x:c r="E110" s="42" t="str">
        <x:v>높음</x:v>
      </x:c>
      <x:c r="F110" s="30" t="str">
        <x:v>POST /api/proof</x:v>
      </x:c>
      <x:c r="G110" s="30" t="str">
        <x:v>수량 누락/0/음수</x:v>
      </x:c>
      <x:c r="H110" s="30" t="str">
        <x:v>모집장</x:v>
      </x:c>
      <x:c r="I110" s="30" t="str">
        <x:v>quantity 누락, 0, -1</x:v>
      </x:c>
      <x:c r="J110" s="30" t="str">
        <x:v>모두 400, 양수만 허용</x:v>
      </x:c>
      <x:c r="K110" s="44" t="str"/>
      <x:c r="L110" s="45" t="str"/>
      <x:c r="M110" s="45" t="str"/>
      <x:c r="N110" s="30" t="str">
        <x:v>현재 @Positive 유무 확인</x:v>
      </x:c>
    </x:row>
    <x:row r="111" ht="48" customHeight="1">
      <x:c r="A111" s="42" t="str">
        <x:v>TC-108</x:v>
      </x:c>
      <x:c r="B111" s="30" t="str">
        <x:v>인증게시판</x:v>
      </x:c>
      <x:c r="C111" s="30" t="str">
        <x:v>작성</x:v>
      </x:c>
      <x:c r="D111" s="42" t="str">
        <x:v>입력오류</x:v>
      </x:c>
      <x:c r="E111" s="42" t="str">
        <x:v>보통</x:v>
      </x:c>
      <x:c r="F111" s="30" t="str">
        <x:v>POST /api/proof</x:v>
      </x:c>
      <x:c r="G111" s="30" t="str">
        <x:v>잘못된 category</x:v>
      </x:c>
      <x:c r="H111" s="30" t="str">
        <x:v>모집장</x:v>
      </x:c>
      <x:c r="I111" s="30" t="str">
        <x:v>category=INVALID</x:v>
      </x:c>
      <x:c r="J111" s="30" t="str">
        <x:v>400, 생성 없음</x:v>
      </x:c>
      <x:c r="K111" s="44" t="str"/>
      <x:c r="L111" s="45" t="str"/>
      <x:c r="M111" s="45" t="str"/>
      <x:c r="N111" s="30" t="str"/>
    </x:row>
    <x:row r="112" ht="48" customHeight="1">
      <x:c r="A112" s="42" t="str">
        <x:v>TC-109</x:v>
      </x:c>
      <x:c r="B112" s="30" t="str">
        <x:v>인증게시판</x:v>
      </x:c>
      <x:c r="C112" s="30" t="str">
        <x:v>목록</x:v>
      </x:c>
      <x:c r="D112" s="42" t="str">
        <x:v>정상</x:v>
      </x:c>
      <x:c r="E112" s="42" t="str">
        <x:v>보통</x:v>
      </x:c>
      <x:c r="F112" s="30" t="str">
        <x:v>GET /api/proof?category=ALL&amp;page=1</x:v>
      </x:c>
      <x:c r="G112" s="30" t="str">
        <x:v>전체 목록</x:v>
      </x:c>
      <x:c r="H112" s="30" t="str">
        <x:v>데이터 존재</x:v>
      </x:c>
      <x:c r="I112" s="30" t="str">
        <x:v>GET 요청</x:v>
      </x:c>
      <x:c r="J112" s="30" t="str">
        <x:v>200, 최신순 8개/페이지, 삭제 제외</x:v>
      </x:c>
      <x:c r="K112" s="44" t="str"/>
      <x:c r="L112" s="45" t="str"/>
      <x:c r="M112" s="45" t="str"/>
      <x:c r="N112" s="30" t="str"/>
    </x:row>
    <x:row r="113" ht="48" customHeight="1">
      <x:c r="A113" s="42" t="str">
        <x:v>TC-110</x:v>
      </x:c>
      <x:c r="B113" s="30" t="str">
        <x:v>인증게시판</x:v>
      </x:c>
      <x:c r="C113" s="30" t="str">
        <x:v>목록</x:v>
      </x:c>
      <x:c r="D113" s="42" t="str">
        <x:v>정상</x:v>
      </x:c>
      <x:c r="E113" s="42" t="str">
        <x:v>보통</x:v>
      </x:c>
      <x:c r="F113" s="30" t="str">
        <x:v>GET /api/proof?category=PLANT</x:v>
      </x:c>
      <x:c r="G113" s="30" t="str">
        <x:v>카테고리 필터</x:v>
      </x:c>
      <x:c r="H113" s="30" t="str">
        <x:v>PLOG/PLANT 존재</x:v>
      </x:c>
      <x:c r="I113" s="30" t="str">
        <x:v>PLANT/PLOG 각각 요청</x:v>
      </x:c>
      <x:c r="J113" s="30" t="str">
        <x:v>해당 분류만 반환</x:v>
      </x:c>
      <x:c r="K113" s="44" t="str"/>
      <x:c r="L113" s="45" t="str"/>
      <x:c r="M113" s="45" t="str"/>
      <x:c r="N113" s="30" t="str"/>
    </x:row>
    <x:row r="114" ht="48" customHeight="1">
      <x:c r="A114" s="42" t="str">
        <x:v>TC-111</x:v>
      </x:c>
      <x:c r="B114" s="30" t="str">
        <x:v>인증게시판</x:v>
      </x:c>
      <x:c r="C114" s="30" t="str">
        <x:v>목록</x:v>
      </x:c>
      <x:c r="D114" s="42" t="str">
        <x:v>입력오류</x:v>
      </x:c>
      <x:c r="E114" s="42" t="str">
        <x:v>낮음</x:v>
      </x:c>
      <x:c r="F114" s="30" t="str">
        <x:v>GET /api/proof?category=INVALID</x:v>
      </x:c>
      <x:c r="G114" s="30" t="str">
        <x:v>잘못된 분류</x:v>
      </x:c>
      <x:c r="H114" s="30" t="str">
        <x:v>-</x:v>
      </x:c>
      <x:c r="I114" s="30" t="str">
        <x:v>INVALID 요청</x:v>
      </x:c>
      <x:c r="J114" s="30" t="str">
        <x:v>ALL 보정 또는 400, 정책 일관</x:v>
      </x:c>
      <x:c r="K114" s="44" t="str"/>
      <x:c r="L114" s="45" t="str"/>
      <x:c r="M114" s="45" t="str"/>
      <x:c r="N114" s="30" t="str"/>
    </x:row>
    <x:row r="115" ht="48" customHeight="1">
      <x:c r="A115" s="42" t="str">
        <x:v>TC-112</x:v>
      </x:c>
      <x:c r="B115" s="30" t="str">
        <x:v>인증게시판</x:v>
      </x:c>
      <x:c r="C115" s="30" t="str">
        <x:v>목록</x:v>
      </x:c>
      <x:c r="D115" s="42" t="str">
        <x:v>경계</x:v>
      </x:c>
      <x:c r="E115" s="42" t="str">
        <x:v>보통</x:v>
      </x:c>
      <x:c r="F115" s="30" t="str">
        <x:v>GET /api/proof?page=-1</x:v>
      </x:c>
      <x:c r="G115" s="30" t="str">
        <x:v>음수 페이지</x:v>
      </x:c>
      <x:c r="H115" s="30" t="str">
        <x:v>-</x:v>
      </x:c>
      <x:c r="I115" s="30" t="str">
        <x:v>page=-1</x:v>
      </x:c>
      <x:c r="J115" s="30" t="str">
        <x:v>1페이지 보정 또는 400, 500 금지</x:v>
      </x:c>
      <x:c r="K115" s="44" t="str"/>
      <x:c r="L115" s="45" t="str"/>
      <x:c r="M115" s="45" t="str"/>
      <x:c r="N115" s="30" t="str"/>
    </x:row>
    <x:row r="116" ht="48" customHeight="1">
      <x:c r="A116" s="42" t="str">
        <x:v>TC-113</x:v>
      </x:c>
      <x:c r="B116" s="30" t="str">
        <x:v>인증게시판</x:v>
      </x:c>
      <x:c r="C116" s="30" t="str">
        <x:v>상세</x:v>
      </x:c>
      <x:c r="D116" s="42" t="str">
        <x:v>입력오류</x:v>
      </x:c>
      <x:c r="E116" s="42" t="str">
        <x:v>보통</x:v>
      </x:c>
      <x:c r="F116" s="30" t="str">
        <x:v>GET /api/proof/999999</x:v>
      </x:c>
      <x:c r="G116" s="30" t="str">
        <x:v>없는 글</x:v>
      </x:c>
      <x:c r="H116" s="30" t="str">
        <x:v>-</x:v>
      </x:c>
      <x:c r="I116" s="30" t="str">
        <x:v>없는 proofNo</x:v>
      </x:c>
      <x:c r="J116" s="30" t="str">
        <x:v>404 또는 제어된 4xx</x:v>
      </x:c>
      <x:c r="K116" s="44" t="str"/>
      <x:c r="L116" s="45" t="str"/>
      <x:c r="M116" s="45" t="str"/>
      <x:c r="N116" s="30" t="str"/>
    </x:row>
    <x:row r="117" ht="48" customHeight="1">
      <x:c r="A117" s="42" t="str">
        <x:v>TC-114</x:v>
      </x:c>
      <x:c r="B117" s="30" t="str">
        <x:v>인증게시판</x:v>
      </x:c>
      <x:c r="C117" s="30" t="str">
        <x:v>수정</x:v>
      </x:c>
      <x:c r="D117" s="42" t="str">
        <x:v>정상</x:v>
      </x:c>
      <x:c r="E117" s="42" t="str">
        <x:v>높음</x:v>
      </x:c>
      <x:c r="F117" s="30" t="str">
        <x:v>PATCH /api/proof/{proofNo}</x:v>
      </x:c>
      <x:c r="G117" s="30" t="str">
        <x:v>파일 없이 내용 수정</x:v>
      </x:c>
      <x:c r="H117" s="30" t="str">
        <x:v>본인 글 + 파일 2장</x:v>
      </x:c>
      <x:c r="I117" s="30" t="str">
        <x:v>files 미첨부로 수정</x:v>
      </x:c>
      <x:c r="J117" s="30" t="str">
        <x:v>200, 기존 파일 2장 유지</x:v>
      </x:c>
      <x:c r="K117" s="44" t="str"/>
      <x:c r="L117" s="45" t="str"/>
      <x:c r="M117" s="45" t="str"/>
      <x:c r="N117" s="30" t="str"/>
    </x:row>
    <x:row r="118" ht="48" customHeight="1">
      <x:c r="A118" s="42" t="str">
        <x:v>TC-115</x:v>
      </x:c>
      <x:c r="B118" s="30" t="str">
        <x:v>인증게시판</x:v>
      </x:c>
      <x:c r="C118" s="30" t="str">
        <x:v>수정</x:v>
      </x:c>
      <x:c r="D118" s="42" t="str">
        <x:v>정상</x:v>
      </x:c>
      <x:c r="E118" s="42" t="str">
        <x:v>보통</x:v>
      </x:c>
      <x:c r="F118" s="30" t="str">
        <x:v>PATCH /api/proof/{proofNo}</x:v>
      </x:c>
      <x:c r="G118" s="30" t="str">
        <x:v>이미지 2장 교체</x:v>
      </x:c>
      <x:c r="H118" s="30" t="str">
        <x:v>본인 글</x:v>
      </x:c>
      <x:c r="I118" s="30" t="str">
        <x:v>새 이미지 2장</x:v>
      </x:c>
      <x:c r="J118" s="30" t="str">
        <x:v>200, 기존 파일 비활성화, 신규 2장</x:v>
      </x:c>
      <x:c r="K118" s="44" t="str"/>
      <x:c r="L118" s="45" t="str"/>
      <x:c r="M118" s="45" t="str"/>
      <x:c r="N118" s="30" t="str"/>
    </x:row>
    <x:row r="119" ht="48" customHeight="1">
      <x:c r="A119" s="42" t="str">
        <x:v>TC-116</x:v>
      </x:c>
      <x:c r="B119" s="30" t="str">
        <x:v>인증게시판</x:v>
      </x:c>
      <x:c r="C119" s="30" t="str">
        <x:v>수정</x:v>
      </x:c>
      <x:c r="D119" s="42" t="str">
        <x:v>소유권</x:v>
      </x:c>
      <x:c r="E119" s="42" t="str">
        <x:v>높음</x:v>
      </x:c>
      <x:c r="F119" s="30" t="str">
        <x:v>PATCH /api/proof/{proofNo}</x:v>
      </x:c>
      <x:c r="G119" s="30" t="str">
        <x:v>타인 글 수정</x:v>
      </x:c>
      <x:c r="H119" s="30" t="str">
        <x:v>B 글, A 로그인</x:v>
      </x:c>
      <x:c r="I119" s="30" t="str">
        <x:v>A 토큰으로 수정</x:v>
      </x:c>
      <x:c r="J119" s="30" t="str">
        <x:v>403, 내용/파일 유지</x:v>
      </x:c>
      <x:c r="K119" s="44" t="str"/>
      <x:c r="L119" s="45" t="str"/>
      <x:c r="M119" s="45" t="str"/>
      <x:c r="N119" s="30" t="str"/>
    </x:row>
    <x:row r="120" ht="48" customHeight="1">
      <x:c r="A120" s="42" t="str">
        <x:v>TC-117</x:v>
      </x:c>
      <x:c r="B120" s="30" t="str">
        <x:v>인증게시판</x:v>
      </x:c>
      <x:c r="C120" s="30" t="str">
        <x:v>삭제</x:v>
      </x:c>
      <x:c r="D120" s="42" t="str">
        <x:v>정상</x:v>
      </x:c>
      <x:c r="E120" s="42" t="str">
        <x:v>높음</x:v>
      </x:c>
      <x:c r="F120" s="30" t="str">
        <x:v>DELETE /api/proof/{proofNo}</x:v>
      </x:c>
      <x:c r="G120" s="30" t="str">
        <x:v>본인 글 삭제</x:v>
      </x:c>
      <x:c r="H120" s="30" t="str">
        <x:v>본인 글</x:v>
      </x:c>
      <x:c r="I120" s="30" t="str">
        <x:v>삭제 후 DB/목록/통계 확인</x:v>
      </x:c>
      <x:c r="J120" s="30" t="str">
        <x:v>204, DELETED='Y', 목록·식목 집계 제외</x:v>
      </x:c>
      <x:c r="K120" s="44" t="str"/>
      <x:c r="L120" s="45" t="str"/>
      <x:c r="M120" s="45" t="str"/>
      <x:c r="N120" s="30" t="str"/>
    </x:row>
    <x:row r="121" ht="48" customHeight="1">
      <x:c r="A121" s="42" t="str">
        <x:v>TC-118</x:v>
      </x:c>
      <x:c r="B121" s="30" t="str">
        <x:v>인증게시판</x:v>
      </x:c>
      <x:c r="C121" s="30" t="str">
        <x:v>삭제</x:v>
      </x:c>
      <x:c r="D121" s="42" t="str">
        <x:v>소유권</x:v>
      </x:c>
      <x:c r="E121" s="42" t="str">
        <x:v>높음</x:v>
      </x:c>
      <x:c r="F121" s="30" t="str">
        <x:v>DELETE /api/proof/{proofNo}</x:v>
      </x:c>
      <x:c r="G121" s="30" t="str">
        <x:v>타인 글 삭제</x:v>
      </x:c>
      <x:c r="H121" s="30" t="str">
        <x:v>B 글, A 로그인</x:v>
      </x:c>
      <x:c r="I121" s="30" t="str">
        <x:v>A 토큰으로 삭제</x:v>
      </x:c>
      <x:c r="J121" s="30" t="str">
        <x:v>403, 글/파일 유지</x:v>
      </x:c>
      <x:c r="K121" s="44" t="str"/>
      <x:c r="L121" s="45" t="str"/>
      <x:c r="M121" s="45" t="str"/>
      <x:c r="N121" s="30" t="str"/>
    </x:row>
    <x:row r="122" ht="48" customHeight="1">
      <x:c r="A122" s="42" t="str">
        <x:v>TC-119</x:v>
      </x:c>
      <x:c r="B122" s="30" t="str">
        <x:v>공지사항</x:v>
      </x:c>
      <x:c r="C122" s="30" t="str">
        <x:v>목록</x:v>
      </x:c>
      <x:c r="D122" s="42" t="str">
        <x:v>정상</x:v>
      </x:c>
      <x:c r="E122" s="42" t="str">
        <x:v>보통</x:v>
      </x:c>
      <x:c r="F122" s="30" t="str">
        <x:v>GET /api/notices?category=ALL&amp;page=1</x:v>
      </x:c>
      <x:c r="G122" s="30" t="str">
        <x:v>비로그인 목록</x:v>
      </x:c>
      <x:c r="H122" s="30" t="str">
        <x:v>공지 존재</x:v>
      </x:c>
      <x:c r="I122" s="30" t="str">
        <x:v>GET 요청</x:v>
      </x:c>
      <x:c r="J122" s="30" t="str">
        <x:v>200, 삭제되지 않은 공지/이벤트 반환</x:v>
      </x:c>
      <x:c r="K122" s="44" t="str"/>
      <x:c r="L122" s="45" t="str"/>
      <x:c r="M122" s="45" t="str"/>
      <x:c r="N122" s="30" t="str"/>
    </x:row>
    <x:row r="123" ht="48" customHeight="1">
      <x:c r="A123" s="42" t="str">
        <x:v>TC-120</x:v>
      </x:c>
      <x:c r="B123" s="30" t="str">
        <x:v>공지사항</x:v>
      </x:c>
      <x:c r="C123" s="30" t="str">
        <x:v>상세</x:v>
      </x:c>
      <x:c r="D123" s="42" t="str">
        <x:v>정상</x:v>
      </x:c>
      <x:c r="E123" s="42" t="str">
        <x:v>보통</x:v>
      </x:c>
      <x:c r="F123" s="30" t="str">
        <x:v>GET /api/notices/{noticeNo}</x:v>
      </x:c>
      <x:c r="G123" s="30" t="str">
        <x:v>비로그인 상세와 조회수</x:v>
      </x:c>
      <x:c r="H123" s="30" t="str">
        <x:v>정상 공지</x:v>
      </x:c>
      <x:c r="I123" s="30" t="str">
        <x:v>2회 조회</x:v>
      </x:c>
      <x:c r="J123" s="30" t="str">
        <x:v>200, 파일 포함, 조회수 증가</x:v>
      </x:c>
      <x:c r="K123" s="44" t="str"/>
      <x:c r="L123" s="45" t="str"/>
      <x:c r="M123" s="45" t="str"/>
      <x:c r="N123" s="30" t="str"/>
    </x:row>
    <x:row r="124" ht="48" customHeight="1">
      <x:c r="A124" s="42" t="str">
        <x:v>TC-121</x:v>
      </x:c>
      <x:c r="B124" s="30" t="str">
        <x:v>공지사항</x:v>
      </x:c>
      <x:c r="C124" s="30" t="str">
        <x:v>작성</x:v>
      </x:c>
      <x:c r="D124" s="42" t="str">
        <x:v>정상</x:v>
      </x:c>
      <x:c r="E124" s="42" t="str">
        <x:v>높음</x:v>
      </x:c>
      <x:c r="F124" s="30" t="str">
        <x:v>POST /api/notices</x:v>
      </x:c>
      <x:c r="G124" s="30" t="str">
        <x:v>관리자 정상 작성</x:v>
      </x:c>
      <x:c r="H124" s="30" t="str">
        <x:v>ROLE_ADMIN</x:v>
      </x:c>
      <x:c r="I124" s="30" t="str">
        <x:v>category/title/content + 선택 파일</x:v>
      </x:c>
      <x:c r="J124" s="30" t="str">
        <x:v>200/201, 목록 노출</x:v>
      </x:c>
      <x:c r="K124" s="44" t="str"/>
      <x:c r="L124" s="45" t="str"/>
      <x:c r="M124" s="45" t="str"/>
      <x:c r="N124" s="30" t="str"/>
    </x:row>
    <x:row r="125" ht="48" customHeight="1">
      <x:c r="A125" s="42" t="str">
        <x:v>TC-122</x:v>
      </x:c>
      <x:c r="B125" s="30" t="str">
        <x:v>공지사항</x:v>
      </x:c>
      <x:c r="C125" s="30" t="str">
        <x:v>작성</x:v>
      </x:c>
      <x:c r="D125" s="42" t="str">
        <x:v>인가</x:v>
      </x:c>
      <x:c r="E125" s="42" t="str">
        <x:v>높음</x:v>
      </x:c>
      <x:c r="F125" s="30" t="str">
        <x:v>POST /api/notices</x:v>
      </x:c>
      <x:c r="G125" s="30" t="str">
        <x:v>일반 회원 작성</x:v>
      </x:c>
      <x:c r="H125" s="30" t="str">
        <x:v>ROLE_USER</x:v>
      </x:c>
      <x:c r="I125" s="30" t="str">
        <x:v>정상 데이터 전송</x:v>
      </x:c>
      <x:c r="J125" s="30" t="str">
        <x:v>403, 생성 없음</x:v>
      </x:c>
      <x:c r="K125" s="44" t="str"/>
      <x:c r="L125" s="45" t="str"/>
      <x:c r="M125" s="45" t="str"/>
      <x:c r="N125" s="30" t="str"/>
    </x:row>
    <x:row r="126" ht="48" customHeight="1">
      <x:c r="A126" s="42" t="str">
        <x:v>TC-123</x:v>
      </x:c>
      <x:c r="B126" s="30" t="str">
        <x:v>공지사항</x:v>
      </x:c>
      <x:c r="C126" s="30" t="str">
        <x:v>작성</x:v>
      </x:c>
      <x:c r="D126" s="42" t="str">
        <x:v>입력오류</x:v>
      </x:c>
      <x:c r="E126" s="42" t="str">
        <x:v>높음</x:v>
      </x:c>
      <x:c r="F126" s="30" t="str">
        <x:v>POST /api/notices</x:v>
      </x:c>
      <x:c r="G126" s="30" t="str">
        <x:v>빈 제목/내용/카테고리</x:v>
      </x:c>
      <x:c r="H126" s="30" t="str">
        <x:v>관리자</x:v>
      </x:c>
      <x:c r="I126" s="30" t="str">
        <x:v>각 필드 공백</x:v>
      </x:c>
      <x:c r="J126" s="30" t="str">
        <x:v>400, 생성 없음</x:v>
      </x:c>
      <x:c r="K126" s="44" t="str"/>
      <x:c r="L126" s="45" t="str"/>
      <x:c r="M126" s="45" t="str"/>
      <x:c r="N126" s="30" t="str">
        <x:v>현재 NoticeDto 검증 애노테이션 확인</x:v>
      </x:c>
    </x:row>
    <x:row r="127" ht="48" customHeight="1">
      <x:c r="A127" s="42" t="str">
        <x:v>TC-124</x:v>
      </x:c>
      <x:c r="B127" s="30" t="str">
        <x:v>공지사항</x:v>
      </x:c>
      <x:c r="C127" s="30" t="str">
        <x:v>파일</x:v>
      </x:c>
      <x:c r="D127" s="42" t="str">
        <x:v>경계</x:v>
      </x:c>
      <x:c r="E127" s="42" t="str">
        <x:v>보통</x:v>
      </x:c>
      <x:c r="F127" s="30" t="str">
        <x:v>POST /api/notices</x:v>
      </x:c>
      <x:c r="G127" s="30" t="str">
        <x:v>101MB 또는 허용 외 확장자</x:v>
      </x:c>
      <x:c r="H127" s="30" t="str">
        <x:v>관리자</x:v>
      </x:c>
      <x:c r="I127" s="30" t="str">
        <x:v>대용량·실행파일 각각 업로드</x:v>
      </x:c>
      <x:c r="J127" s="30" t="str">
        <x:v>413/400, 공지·파일 롤백</x:v>
      </x:c>
      <x:c r="K127" s="44" t="str"/>
      <x:c r="L127" s="45" t="str"/>
      <x:c r="M127" s="45" t="str"/>
      <x:c r="N127" s="30" t="str"/>
    </x:row>
    <x:row r="128" ht="48" customHeight="1">
      <x:c r="A128" s="42" t="str">
        <x:v>TC-125</x:v>
      </x:c>
      <x:c r="B128" s="30" t="str">
        <x:v>공지사항</x:v>
      </x:c>
      <x:c r="C128" s="30" t="str">
        <x:v>수정</x:v>
      </x:c>
      <x:c r="D128" s="42" t="str">
        <x:v>정상</x:v>
      </x:c>
      <x:c r="E128" s="42" t="str">
        <x:v>높음</x:v>
      </x:c>
      <x:c r="F128" s="30" t="str">
        <x:v>PATCH /api/notices/{noticeNo}</x:v>
      </x:c>
      <x:c r="G128" s="30" t="str">
        <x:v>파일 없이 수정</x:v>
      </x:c>
      <x:c r="H128" s="30" t="str">
        <x:v>관리자 + 첨부 공지</x:v>
      </x:c>
      <x:c r="I128" s="30" t="str">
        <x:v>files/deleteFileNos 없이 제목 수정</x:v>
      </x:c>
      <x:c r="J128" s="30" t="str">
        <x:v>200, 기존 첨부 유지</x:v>
      </x:c>
      <x:c r="K128" s="44" t="str"/>
      <x:c r="L128" s="45" t="str"/>
      <x:c r="M128" s="45" t="str"/>
      <x:c r="N128" s="30" t="str"/>
    </x:row>
    <x:row r="129" ht="48" customHeight="1">
      <x:c r="A129" s="42" t="str">
        <x:v>TC-126</x:v>
      </x:c>
      <x:c r="B129" s="30" t="str">
        <x:v>공지사항</x:v>
      </x:c>
      <x:c r="C129" s="30" t="str">
        <x:v>수정</x:v>
      </x:c>
      <x:c r="D129" s="42" t="str">
        <x:v>정상</x:v>
      </x:c>
      <x:c r="E129" s="42" t="str">
        <x:v>보통</x:v>
      </x:c>
      <x:c r="F129" s="30" t="str">
        <x:v>PATCH /api/notices/{noticeNo}</x:v>
      </x:c>
      <x:c r="G129" s="30" t="str">
        <x:v>선택 파일 삭제/추가</x:v>
      </x:c>
      <x:c r="H129" s="30" t="str">
        <x:v>관리자 + 첨부 2개</x:v>
      </x:c>
      <x:c r="I129" s="30" t="str">
        <x:v>deleteFileNos 1개 + 신규 1개</x:v>
      </x:c>
      <x:c r="J129" s="30" t="str">
        <x:v>선택 파일만 제외, 나머지 유지, 신규 추가</x:v>
      </x:c>
      <x:c r="K129" s="44" t="str"/>
      <x:c r="L129" s="45" t="str"/>
      <x:c r="M129" s="45" t="str"/>
      <x:c r="N129" s="30" t="str"/>
    </x:row>
    <x:row r="130" ht="48" customHeight="1">
      <x:c r="A130" s="42" t="str">
        <x:v>TC-127</x:v>
      </x:c>
      <x:c r="B130" s="30" t="str">
        <x:v>공지사항</x:v>
      </x:c>
      <x:c r="C130" s="30" t="str">
        <x:v>수정</x:v>
      </x:c>
      <x:c r="D130" s="42" t="str">
        <x:v>인가</x:v>
      </x:c>
      <x:c r="E130" s="42" t="str">
        <x:v>높음</x:v>
      </x:c>
      <x:c r="F130" s="30" t="str">
        <x:v>PATCH /api/notices/{noticeNo}</x:v>
      </x:c>
      <x:c r="G130" s="30" t="str">
        <x:v>일반 회원 수정</x:v>
      </x:c>
      <x:c r="H130" s="30" t="str">
        <x:v>ROLE_USER</x:v>
      </x:c>
      <x:c r="I130" s="30" t="str">
        <x:v>수정 요청</x:v>
      </x:c>
      <x:c r="J130" s="30" t="str">
        <x:v>403, 변경 없음</x:v>
      </x:c>
      <x:c r="K130" s="44" t="str"/>
      <x:c r="L130" s="45" t="str"/>
      <x:c r="M130" s="45" t="str"/>
      <x:c r="N130" s="30" t="str"/>
    </x:row>
    <x:row r="131" ht="48" customHeight="1">
      <x:c r="A131" s="42" t="str">
        <x:v>TC-128</x:v>
      </x:c>
      <x:c r="B131" s="30" t="str">
        <x:v>공지사항</x:v>
      </x:c>
      <x:c r="C131" s="30" t="str">
        <x:v>삭제</x:v>
      </x:c>
      <x:c r="D131" s="42" t="str">
        <x:v>인가</x:v>
      </x:c>
      <x:c r="E131" s="42" t="str">
        <x:v>높음</x:v>
      </x:c>
      <x:c r="F131" s="30" t="str">
        <x:v>DELETE /api/notices/{noticeNo}</x:v>
      </x:c>
      <x:c r="G131" s="30" t="str">
        <x:v>일반 회원 삭제</x:v>
      </x:c>
      <x:c r="H131" s="30" t="str">
        <x:v>ROLE_USER</x:v>
      </x:c>
      <x:c r="I131" s="30" t="str">
        <x:v>삭제 요청</x:v>
      </x:c>
      <x:c r="J131" s="30" t="str">
        <x:v>403, 상태 유지</x:v>
      </x:c>
      <x:c r="K131" s="44" t="str"/>
      <x:c r="L131" s="45" t="str"/>
      <x:c r="M131" s="45" t="str"/>
      <x:c r="N131" s="30" t="str"/>
    </x:row>
    <x:row r="132" ht="48" customHeight="1">
      <x:c r="A132" s="42" t="str">
        <x:v>TC-129</x:v>
      </x:c>
      <x:c r="B132" s="30" t="str">
        <x:v>공지사항</x:v>
      </x:c>
      <x:c r="C132" s="30" t="str">
        <x:v>삭제</x:v>
      </x:c>
      <x:c r="D132" s="42" t="str">
        <x:v>정상</x:v>
      </x:c>
      <x:c r="E132" s="42" t="str">
        <x:v>높음</x:v>
      </x:c>
      <x:c r="F132" s="30" t="str">
        <x:v>DELETE /api/notices/{noticeNo}</x:v>
      </x:c>
      <x:c r="G132" s="30" t="str">
        <x:v>관리자 soft delete</x:v>
      </x:c>
      <x:c r="H132" s="30" t="str">
        <x:v>관리자 + 정상 공지</x:v>
      </x:c>
      <x:c r="I132" s="30" t="str">
        <x:v>삭제 후 목록/상세 확인</x:v>
      </x:c>
      <x:c r="J132" s="30" t="str">
        <x:v>200, DELETED='Y', 목록 제외, 상세 4xx</x:v>
      </x:c>
      <x:c r="K132" s="44" t="str"/>
      <x:c r="L132" s="45" t="str"/>
      <x:c r="M132" s="45" t="str"/>
      <x:c r="N132" s="30" t="str"/>
    </x:row>
    <x:row r="133" ht="48" customHeight="1">
      <x:c r="A133" s="42" t="str">
        <x:v>TC-130</x:v>
      </x:c>
      <x:c r="B133" s="30" t="str">
        <x:v>공지사항</x:v>
      </x:c>
      <x:c r="C133" s="30" t="str">
        <x:v>목록</x:v>
      </x:c>
      <x:c r="D133" s="42" t="str">
        <x:v>경계</x:v>
      </x:c>
      <x:c r="E133" s="42" t="str">
        <x:v>낮음</x:v>
      </x:c>
      <x:c r="F133" s="30" t="str">
        <x:v>GET /api/notices?page=-1</x:v>
      </x:c>
      <x:c r="G133" s="30" t="str">
        <x:v>음수 페이지</x:v>
      </x:c>
      <x:c r="H133" s="30" t="str">
        <x:v>-</x:v>
      </x:c>
      <x:c r="I133" s="30" t="str">
        <x:v>category=ALL&amp;page=-1</x:v>
      </x:c>
      <x:c r="J133" s="30" t="str">
        <x:v>1페이지 보정 또는 400, 500 금지</x:v>
      </x:c>
      <x:c r="K133" s="44" t="str"/>
      <x:c r="L133" s="45" t="str"/>
      <x:c r="M133" s="45" t="str"/>
      <x:c r="N133" s="30" t="str"/>
    </x:row>
    <x:row r="134" ht="48" customHeight="1">
      <x:c r="A134" s="42" t="str">
        <x:v>TC-131</x:v>
      </x:c>
      <x:c r="B134" s="30" t="str">
        <x:v>문의게시판</x:v>
      </x:c>
      <x:c r="C134" s="30" t="str">
        <x:v>작성</x:v>
      </x:c>
      <x:c r="D134" s="42" t="str">
        <x:v>정상</x:v>
      </x:c>
      <x:c r="E134" s="42" t="str">
        <x:v>높음</x:v>
      </x:c>
      <x:c r="F134" s="30" t="str">
        <x:v>POST /api/question</x:v>
      </x:c>
      <x:c r="G134" s="30" t="str">
        <x:v>정상 문의 작성</x:v>
      </x:c>
      <x:c r="H134" s="30" t="str">
        <x:v>로그인 상태</x:v>
      </x:c>
      <x:c r="I134" s="30" t="str">
        <x:v>category/title/content + 선택 파일</x:v>
      </x:c>
      <x:c r="J134" s="30" t="str">
        <x:v>201, 본인 목록에 WAITING 상태로 노출</x:v>
      </x:c>
      <x:c r="K134" s="44" t="str"/>
      <x:c r="L134" s="45" t="str"/>
      <x:c r="M134" s="45" t="str"/>
      <x:c r="N134" s="30" t="str"/>
    </x:row>
    <x:row r="135" ht="48" customHeight="1">
      <x:c r="A135" s="42" t="str">
        <x:v>TC-132</x:v>
      </x:c>
      <x:c r="B135" s="30" t="str">
        <x:v>문의게시판</x:v>
      </x:c>
      <x:c r="C135" s="30" t="str">
        <x:v>작성</x:v>
      </x:c>
      <x:c r="D135" s="42" t="str">
        <x:v>인증</x:v>
      </x:c>
      <x:c r="E135" s="42" t="str">
        <x:v>높음</x:v>
      </x:c>
      <x:c r="F135" s="30" t="str">
        <x:v>POST /api/question</x:v>
      </x:c>
      <x:c r="G135" s="30" t="str">
        <x:v>비로그인 작성</x:v>
      </x:c>
      <x:c r="H135" s="30" t="str">
        <x:v>로그아웃</x:v>
      </x:c>
      <x:c r="I135" s="30" t="str">
        <x:v>토큰 없이 요청</x:v>
      </x:c>
      <x:c r="J135" s="30" t="str">
        <x:v>401, 생성 없음</x:v>
      </x:c>
      <x:c r="K135" s="44" t="str"/>
      <x:c r="L135" s="45" t="str"/>
      <x:c r="M135" s="45" t="str"/>
      <x:c r="N135" s="30" t="str"/>
    </x:row>
    <x:row r="136" ht="48" customHeight="1">
      <x:c r="A136" s="42" t="str">
        <x:v>TC-133</x:v>
      </x:c>
      <x:c r="B136" s="30" t="str">
        <x:v>문의게시판</x:v>
      </x:c>
      <x:c r="C136" s="30" t="str">
        <x:v>작성</x:v>
      </x:c>
      <x:c r="D136" s="42" t="str">
        <x:v>입력오류</x:v>
      </x:c>
      <x:c r="E136" s="42" t="str">
        <x:v>높음</x:v>
      </x:c>
      <x:c r="F136" s="30" t="str">
        <x:v>POST /api/question</x:v>
      </x:c>
      <x:c r="G136" s="30" t="str">
        <x:v>빈 제목/카테고리/내용</x:v>
      </x:c>
      <x:c r="H136" s="30" t="str">
        <x:v>로그인 상태</x:v>
      </x:c>
      <x:c r="I136" s="30" t="str">
        <x:v>필드별 공백</x:v>
      </x:c>
      <x:c r="J136" s="30" t="str">
        <x:v>400, 생성 없음</x:v>
      </x:c>
      <x:c r="K136" s="44" t="str"/>
      <x:c r="L136" s="45" t="str"/>
      <x:c r="M136" s="45" t="str"/>
      <x:c r="N136" s="30" t="str"/>
    </x:row>
    <x:row r="137" ht="48" customHeight="1">
      <x:c r="A137" s="42" t="str">
        <x:v>TC-134</x:v>
      </x:c>
      <x:c r="B137" s="30" t="str">
        <x:v>문의게시판</x:v>
      </x:c>
      <x:c r="C137" s="30" t="str">
        <x:v>작성</x:v>
      </x:c>
      <x:c r="D137" s="42" t="str">
        <x:v>경계</x:v>
      </x:c>
      <x:c r="E137" s="42" t="str">
        <x:v>보통</x:v>
      </x:c>
      <x:c r="F137" s="30" t="str">
        <x:v>POST /api/question</x:v>
      </x:c>
      <x:c r="G137" s="30" t="str">
        <x:v>제목/내용 최대 길이</x:v>
      </x:c>
      <x:c r="H137" s="30" t="str">
        <x:v>로그인 상태</x:v>
      </x:c>
      <x:c r="I137" s="30" t="str">
        <x:v>제목 200/201, 내용 1000/1001자</x:v>
      </x:c>
      <x:c r="J137" s="30" t="str">
        <x:v>최대 이내만 성공</x:v>
      </x:c>
      <x:c r="K137" s="44" t="str"/>
      <x:c r="L137" s="45" t="str"/>
      <x:c r="M137" s="45" t="str"/>
      <x:c r="N137" s="30" t="str"/>
    </x:row>
    <x:row r="138" ht="48" customHeight="1">
      <x:c r="A138" s="42" t="str">
        <x:v>TC-135</x:v>
      </x:c>
      <x:c r="B138" s="30" t="str">
        <x:v>문의게시판</x:v>
      </x:c>
      <x:c r="C138" s="30" t="str">
        <x:v>목록</x:v>
      </x:c>
      <x:c r="D138" s="42" t="str">
        <x:v>인가</x:v>
      </x:c>
      <x:c r="E138" s="42" t="str">
        <x:v>높음</x:v>
      </x:c>
      <x:c r="F138" s="30" t="str">
        <x:v>GET /api/question</x:v>
      </x:c>
      <x:c r="G138" s="30" t="str">
        <x:v>일반 회원 본인 글만 조회</x:v>
      </x:c>
      <x:c r="H138" s="30" t="str">
        <x:v>A/B 문의 존재, A 로그인</x:v>
      </x:c>
      <x:c r="I138" s="30" t="str">
        <x:v>목록 조회</x:v>
      </x:c>
      <x:c r="J138" s="30" t="str">
        <x:v>A 작성 글만 반환</x:v>
      </x:c>
      <x:c r="K138" s="44" t="str"/>
      <x:c r="L138" s="45" t="str"/>
      <x:c r="M138" s="45" t="str"/>
      <x:c r="N138" s="30" t="str"/>
    </x:row>
    <x:row r="139" ht="48" customHeight="1">
      <x:c r="A139" s="42" t="str">
        <x:v>TC-136</x:v>
      </x:c>
      <x:c r="B139" s="30" t="str">
        <x:v>문의게시판</x:v>
      </x:c>
      <x:c r="C139" s="30" t="str">
        <x:v>목록</x:v>
      </x:c>
      <x:c r="D139" s="42" t="str">
        <x:v>정상</x:v>
      </x:c>
      <x:c r="E139" s="42" t="str">
        <x:v>보통</x:v>
      </x:c>
      <x:c r="F139" s="30" t="str">
        <x:v>GET /api/question?category=에러&amp;updated=답변대기</x:v>
      </x:c>
      <x:c r="G139" s="30" t="str">
        <x:v>관리자 필터 조회</x:v>
      </x:c>
      <x:c r="H139" s="30" t="str">
        <x:v>관리자 + 다양한 데이터</x:v>
      </x:c>
      <x:c r="I139" s="30" t="str">
        <x:v>category/updated 조합</x:v>
      </x:c>
      <x:c r="J139" s="30" t="str">
        <x:v>필터 조건과 count/목록 일치</x:v>
      </x:c>
      <x:c r="K139" s="44" t="str"/>
      <x:c r="L139" s="45" t="str"/>
      <x:c r="M139" s="45" t="str"/>
      <x:c r="N139" s="30" t="str"/>
    </x:row>
    <x:row r="140" ht="48" customHeight="1">
      <x:c r="A140" s="42" t="str">
        <x:v>TC-137</x:v>
      </x:c>
      <x:c r="B140" s="30" t="str">
        <x:v>문의게시판</x:v>
      </x:c>
      <x:c r="C140" s="30" t="str">
        <x:v>목록</x:v>
      </x:c>
      <x:c r="D140" s="42" t="str">
        <x:v>경계</x:v>
      </x:c>
      <x:c r="E140" s="42" t="str">
        <x:v>높음</x:v>
      </x:c>
      <x:c r="F140" s="30" t="str">
        <x:v>GET /api/question?page=-1</x:v>
      </x:c>
      <x:c r="G140" s="30" t="str">
        <x:v>음수 페이지</x:v>
      </x:c>
      <x:c r="H140" s="30" t="str">
        <x:v>로그인 상태</x:v>
      </x:c>
      <x:c r="I140" s="30" t="str">
        <x:v>page=-1</x:v>
      </x:c>
      <x:c r="J140" s="30" t="str">
        <x:v>1페이지 보정 또는 400, 500/음수 RowBounds 금지</x:v>
      </x:c>
      <x:c r="K140" s="44" t="str"/>
      <x:c r="L140" s="45" t="str"/>
      <x:c r="M140" s="45" t="str"/>
      <x:c r="N140" s="30" t="str">
        <x:v>PageInfo와 RowBounds 계산 일치 확인</x:v>
      </x:c>
    </x:row>
    <x:row r="141" ht="48" customHeight="1">
      <x:c r="A141" s="42" t="str">
        <x:v>TC-138</x:v>
      </x:c>
      <x:c r="B141" s="30" t="str">
        <x:v>문의게시판</x:v>
      </x:c>
      <x:c r="C141" s="30" t="str">
        <x:v>상세</x:v>
      </x:c>
      <x:c r="D141" s="42" t="str">
        <x:v>정상</x:v>
      </x:c>
      <x:c r="E141" s="42" t="str">
        <x:v>보통</x:v>
      </x:c>
      <x:c r="F141" s="30" t="str">
        <x:v>GET /api/question/{boardNo}</x:v>
      </x:c>
      <x:c r="G141" s="30" t="str">
        <x:v>본인 문의 상세</x:v>
      </x:c>
      <x:c r="H141" s="30" t="str">
        <x:v>본인 글</x:v>
      </x:c>
      <x:c r="I141" s="30" t="str">
        <x:v>GET 요청</x:v>
      </x:c>
      <x:c r="J141" s="30" t="str">
        <x:v>200, 파일/답변 목록 포함</x:v>
      </x:c>
      <x:c r="K141" s="44" t="str"/>
      <x:c r="L141" s="45" t="str"/>
      <x:c r="M141" s="45" t="str"/>
      <x:c r="N141" s="30" t="str"/>
    </x:row>
    <x:row r="142" ht="48" customHeight="1">
      <x:c r="A142" s="42" t="str">
        <x:v>TC-139</x:v>
      </x:c>
      <x:c r="B142" s="30" t="str">
        <x:v>문의게시판</x:v>
      </x:c>
      <x:c r="C142" s="30" t="str">
        <x:v>상세</x:v>
      </x:c>
      <x:c r="D142" s="42" t="str">
        <x:v>인가</x:v>
      </x:c>
      <x:c r="E142" s="42" t="str">
        <x:v>높음</x:v>
      </x:c>
      <x:c r="F142" s="30" t="str">
        <x:v>GET /api/question/{boardNo}</x:v>
      </x:c>
      <x:c r="G142" s="30" t="str">
        <x:v>타인 문의 상세</x:v>
      </x:c>
      <x:c r="H142" s="30" t="str">
        <x:v>B 글, A 로그인</x:v>
      </x:c>
      <x:c r="I142" s="30" t="str">
        <x:v>A 토큰으로 B 문의 조회</x:v>
      </x:c>
      <x:c r="J142" s="30" t="str">
        <x:v>403, 문의 내용 비공개</x:v>
      </x:c>
      <x:c r="K142" s="44" t="str"/>
      <x:c r="L142" s="45" t="str"/>
      <x:c r="M142" s="45" t="str"/>
      <x:c r="N142" s="30" t="str">
        <x:v>소유권/관리자 검증 확인</x:v>
      </x:c>
    </x:row>
    <x:row r="143" ht="48" customHeight="1">
      <x:c r="A143" s="42" t="str">
        <x:v>TC-140</x:v>
      </x:c>
      <x:c r="B143" s="30" t="str">
        <x:v>문의게시판</x:v>
      </x:c>
      <x:c r="C143" s="30" t="str">
        <x:v>상세</x:v>
      </x:c>
      <x:c r="D143" s="42" t="str">
        <x:v>데이터무결성</x:v>
      </x:c>
      <x:c r="E143" s="42" t="str">
        <x:v>높음</x:v>
      </x:c>
      <x:c r="F143" s="30" t="str">
        <x:v>GET /api/question/{boardNo}</x:v>
      </x:c>
      <x:c r="G143" s="30" t="str">
        <x:v>삭제 문의 상세</x:v>
      </x:c>
      <x:c r="H143" s="30" t="str">
        <x:v>DELETED='Y' 문의</x:v>
      </x:c>
      <x:c r="I143" s="30" t="str">
        <x:v>GET 요청</x:v>
      </x:c>
      <x:c r="J143" s="30" t="str">
        <x:v>404/403, 삭제 내용 미노출</x:v>
      </x:c>
      <x:c r="K143" s="44" t="str"/>
      <x:c r="L143" s="45" t="str"/>
      <x:c r="M143" s="45" t="str"/>
      <x:c r="N143" s="30" t="str"/>
    </x:row>
    <x:row r="144" ht="48" customHeight="1">
      <x:c r="A144" s="42" t="str">
        <x:v>TC-141</x:v>
      </x:c>
      <x:c r="B144" s="30" t="str">
        <x:v>문의게시판</x:v>
      </x:c>
      <x:c r="C144" s="30" t="str">
        <x:v>삭제</x:v>
      </x:c>
      <x:c r="D144" s="42" t="str">
        <x:v>정상</x:v>
      </x:c>
      <x:c r="E144" s="42" t="str">
        <x:v>높음</x:v>
      </x:c>
      <x:c r="F144" s="30" t="str">
        <x:v>DELETE /api/question/{boardNo}/user</x:v>
      </x:c>
      <x:c r="G144" s="30" t="str">
        <x:v>작성자 삭제</x:v>
      </x:c>
      <x:c r="H144" s="30" t="str">
        <x:v>본인 정상 문의</x:v>
      </x:c>
      <x:c r="I144" s="30" t="str">
        <x:v>삭제 요청</x:v>
      </x:c>
      <x:c r="J144" s="30" t="str">
        <x:v>200, DELETED='Y', 사용자 목록 제외</x:v>
      </x:c>
      <x:c r="K144" s="44" t="str"/>
      <x:c r="L144" s="45" t="str"/>
      <x:c r="M144" s="45" t="str"/>
      <x:c r="N144" s="30" t="str"/>
    </x:row>
    <x:row r="145" ht="48" customHeight="1">
      <x:c r="A145" s="42" t="str">
        <x:v>TC-142</x:v>
      </x:c>
      <x:c r="B145" s="30" t="str">
        <x:v>문의게시판</x:v>
      </x:c>
      <x:c r="C145" s="30" t="str">
        <x:v>삭제</x:v>
      </x:c>
      <x:c r="D145" s="42" t="str">
        <x:v>소유권</x:v>
      </x:c>
      <x:c r="E145" s="42" t="str">
        <x:v>높음</x:v>
      </x:c>
      <x:c r="F145" s="30" t="str">
        <x:v>DELETE /api/question/{boardNo}/user</x:v>
      </x:c>
      <x:c r="G145" s="30" t="str">
        <x:v>타인 문의 삭제</x:v>
      </x:c>
      <x:c r="H145" s="30" t="str">
        <x:v>B 글, A 로그인</x:v>
      </x:c>
      <x:c r="I145" s="30" t="str">
        <x:v>A 토큰으로 삭제</x:v>
      </x:c>
      <x:c r="J145" s="30" t="str">
        <x:v>403, 상태 유지</x:v>
      </x:c>
      <x:c r="K145" s="44" t="str"/>
      <x:c r="L145" s="45" t="str"/>
      <x:c r="M145" s="45" t="str"/>
      <x:c r="N145" s="30" t="str">
        <x:v>NotPermissionException 매핑 확인</x:v>
      </x:c>
    </x:row>
    <x:row r="146" ht="48" customHeight="1">
      <x:c r="A146" s="42" t="str">
        <x:v>TC-143</x:v>
      </x:c>
      <x:c r="B146" s="30" t="str">
        <x:v>문의게시판</x:v>
      </x:c>
      <x:c r="C146" s="30" t="str">
        <x:v>관리자 삭제</x:v>
      </x:c>
      <x:c r="D146" s="42" t="str">
        <x:v>인가</x:v>
      </x:c>
      <x:c r="E146" s="42" t="str">
        <x:v>높음</x:v>
      </x:c>
      <x:c r="F146" s="30" t="str">
        <x:v>DELETE /api/question/{boardNo}/admin</x:v>
      </x:c>
      <x:c r="G146" s="30" t="str">
        <x:v>일반 회원 관리자 API</x:v>
      </x:c>
      <x:c r="H146" s="30" t="str">
        <x:v>ROLE_USER</x:v>
      </x:c>
      <x:c r="I146" s="30" t="str">
        <x:v>요청</x:v>
      </x:c>
      <x:c r="J146" s="30" t="str">
        <x:v>403, 상태 유지</x:v>
      </x:c>
      <x:c r="K146" s="44" t="str"/>
      <x:c r="L146" s="45" t="str"/>
      <x:c r="M146" s="45" t="str"/>
      <x:c r="N146" s="30" t="str"/>
    </x:row>
    <x:row r="147" ht="48" customHeight="1">
      <x:c r="A147" s="42" t="str">
        <x:v>TC-144</x:v>
      </x:c>
      <x:c r="B147" s="30" t="str">
        <x:v>문의게시판</x:v>
      </x:c>
      <x:c r="C147" s="30" t="str">
        <x:v>관리자 삭제</x:v>
      </x:c>
      <x:c r="D147" s="42" t="str">
        <x:v>정상</x:v>
      </x:c>
      <x:c r="E147" s="42" t="str">
        <x:v>보통</x:v>
      </x:c>
      <x:c r="F147" s="30" t="str">
        <x:v>DELETE /api/question/{boardNo}/admin</x:v>
      </x:c>
      <x:c r="G147" s="30" t="str">
        <x:v>관리자 삭제</x:v>
      </x:c>
      <x:c r="H147" s="30" t="str">
        <x:v>ROLE_ADMIN + 정상 문의</x:v>
      </x:c>
      <x:c r="I147" s="30" t="str">
        <x:v>삭제 요청</x:v>
      </x:c>
      <x:c r="J147" s="30" t="str">
        <x:v>200, DELETED='Y'</x:v>
      </x:c>
      <x:c r="K147" s="44" t="str"/>
      <x:c r="L147" s="45" t="str"/>
      <x:c r="M147" s="45" t="str"/>
      <x:c r="N147" s="30" t="str"/>
    </x:row>
    <x:row r="148" ht="48" customHeight="1">
      <x:c r="A148" s="42" t="str">
        <x:v>TC-145</x:v>
      </x:c>
      <x:c r="B148" s="30" t="str">
        <x:v>문의게시판</x:v>
      </x:c>
      <x:c r="C148" s="30" t="str">
        <x:v>복구</x:v>
      </x:c>
      <x:c r="D148" s="42" t="str">
        <x:v>정상</x:v>
      </x:c>
      <x:c r="E148" s="42" t="str">
        <x:v>보통</x:v>
      </x:c>
      <x:c r="F148" s="30" t="str">
        <x:v>PATCH /api/question/{boardNo}</x:v>
      </x:c>
      <x:c r="G148" s="30" t="str">
        <x:v>관리자 삭제 글 복구</x:v>
      </x:c>
      <x:c r="H148" s="30" t="str">
        <x:v>ROLE_ADMIN + 삭제 문의</x:v>
      </x:c>
      <x:c r="I148" s="30" t="str">
        <x:v>복구 요청</x:v>
      </x:c>
      <x:c r="J148" s="30" t="str">
        <x:v>200, DELETED='N', 목록 재노출</x:v>
      </x:c>
      <x:c r="K148" s="44" t="str"/>
      <x:c r="L148" s="45" t="str"/>
      <x:c r="M148" s="45" t="str"/>
      <x:c r="N148" s="30" t="str"/>
    </x:row>
    <x:row r="149" ht="48" customHeight="1">
      <x:c r="A149" s="42" t="str">
        <x:v>TC-146</x:v>
      </x:c>
      <x:c r="B149" s="30" t="str">
        <x:v>문의게시판</x:v>
      </x:c>
      <x:c r="C149" s="30" t="str">
        <x:v>복구</x:v>
      </x:c>
      <x:c r="D149" s="42" t="str">
        <x:v>경계</x:v>
      </x:c>
      <x:c r="E149" s="42" t="str">
        <x:v>낮음</x:v>
      </x:c>
      <x:c r="F149" s="30" t="str">
        <x:v>PATCH /api/question/{boardNo}</x:v>
      </x:c>
      <x:c r="G149" s="30" t="str">
        <x:v>정상 글 재복구</x:v>
      </x:c>
      <x:c r="H149" s="30" t="str">
        <x:v>ROLE_ADMIN + DELETED='N'</x:v>
      </x:c>
      <x:c r="I149" s="30" t="str">
        <x:v>복구 요청</x:v>
      </x:c>
      <x:c r="J149" s="30" t="str">
        <x:v>409/400, 상태 변화 없음</x:v>
      </x:c>
      <x:c r="K149" s="44" t="str"/>
      <x:c r="L149" s="45" t="str"/>
      <x:c r="M149" s="45" t="str"/>
      <x:c r="N149" s="30" t="str"/>
    </x:row>
    <x:row r="150" ht="48" customHeight="1">
      <x:c r="A150" s="42" t="str">
        <x:v>TC-147</x:v>
      </x:c>
      <x:c r="B150" s="30" t="str">
        <x:v>문의답변</x:v>
      </x:c>
      <x:c r="C150" s="30" t="str">
        <x:v>작성</x:v>
      </x:c>
      <x:c r="D150" s="42" t="str">
        <x:v>정상</x:v>
      </x:c>
      <x:c r="E150" s="42" t="str">
        <x:v>높음</x:v>
      </x:c>
      <x:c r="F150" s="30" t="str">
        <x:v>POST /api/question/{boardNo}/comments</x:v>
      </x:c>
      <x:c r="G150" s="30" t="str">
        <x:v>관리자 답변 작성</x:v>
      </x:c>
      <x:c r="H150" s="30" t="str">
        <x:v>ROLE_ADMIN + 정상 문의</x:v>
      </x:c>
      <x:c r="I150" s="30" t="str">
        <x:v>1~1000자 content</x:v>
      </x:c>
      <x:c r="J150" s="30" t="str">
        <x:v>201, 답변 생성 + UPDATED='COMPLETED'</x:v>
      </x:c>
      <x:c r="K150" s="44" t="str"/>
      <x:c r="L150" s="45" t="str"/>
      <x:c r="M150" s="45" t="str"/>
      <x:c r="N150" s="30" t="str"/>
    </x:row>
    <x:row r="151" ht="48" customHeight="1">
      <x:c r="A151" s="42" t="str">
        <x:v>TC-148</x:v>
      </x:c>
      <x:c r="B151" s="30" t="str">
        <x:v>문의답변</x:v>
      </x:c>
      <x:c r="C151" s="30" t="str">
        <x:v>작성</x:v>
      </x:c>
      <x:c r="D151" s="42" t="str">
        <x:v>인가</x:v>
      </x:c>
      <x:c r="E151" s="42" t="str">
        <x:v>높음</x:v>
      </x:c>
      <x:c r="F151" s="30" t="str">
        <x:v>POST /api/question/{boardNo}/comments</x:v>
      </x:c>
      <x:c r="G151" s="30" t="str">
        <x:v>일반 회원 답변</x:v>
      </x:c>
      <x:c r="H151" s="30" t="str">
        <x:v>ROLE_USER</x:v>
      </x:c>
      <x:c r="I151" s="30" t="str">
        <x:v>답변 요청</x:v>
      </x:c>
      <x:c r="J151" s="30" t="str">
        <x:v>403, 답변/상태 변경 없음</x:v>
      </x:c>
      <x:c r="K151" s="44" t="str"/>
      <x:c r="L151" s="45" t="str"/>
      <x:c r="M151" s="45" t="str"/>
      <x:c r="N151" s="30" t="str"/>
    </x:row>
    <x:row r="152" ht="48" customHeight="1">
      <x:c r="A152" s="42" t="str">
        <x:v>TC-149</x:v>
      </x:c>
      <x:c r="B152" s="30" t="str">
        <x:v>문의답변</x:v>
      </x:c>
      <x:c r="C152" s="30" t="str">
        <x:v>작성</x:v>
      </x:c>
      <x:c r="D152" s="42" t="str">
        <x:v>경계</x:v>
      </x:c>
      <x:c r="E152" s="42" t="str">
        <x:v>보통</x:v>
      </x:c>
      <x:c r="F152" s="30" t="str">
        <x:v>POST /api/question/{boardNo}/comments</x:v>
      </x:c>
      <x:c r="G152" s="30" t="str">
        <x:v>답변 공백/1001자</x:v>
      </x:c>
      <x:c r="H152" s="30" t="str">
        <x:v>ROLE_ADMIN</x:v>
      </x:c>
      <x:c r="I152" s="30" t="str">
        <x:v>공백, 1000자, 1001자</x:v>
      </x:c>
      <x:c r="J152" s="30" t="str">
        <x:v>1~1000자만 성공</x:v>
      </x:c>
      <x:c r="K152" s="44" t="str"/>
      <x:c r="L152" s="45" t="str"/>
      <x:c r="M152" s="45" t="str"/>
      <x:c r="N152" s="30" t="str"/>
    </x:row>
    <x:row r="153" ht="48" customHeight="1">
      <x:c r="A153" s="42" t="str">
        <x:v>TC-150</x:v>
      </x:c>
      <x:c r="B153" s="30" t="str">
        <x:v>문의답변</x:v>
      </x:c>
      <x:c r="C153" s="30" t="str">
        <x:v>수정</x:v>
      </x:c>
      <x:c r="D153" s="42" t="str">
        <x:v>정상</x:v>
      </x:c>
      <x:c r="E153" s="42" t="str">
        <x:v>보통</x:v>
      </x:c>
      <x:c r="F153" s="30" t="str">
        <x:v>PATCH /api/question/{boardNo}/comments/{answerNo}</x:v>
      </x:c>
      <x:c r="G153" s="30" t="str">
        <x:v>관리자 답변 수정</x:v>
      </x:c>
      <x:c r="H153" s="30" t="str">
        <x:v>ROLE_ADMIN + 답변</x:v>
      </x:c>
      <x:c r="I153" s="30" t="str">
        <x:v>새 content</x:v>
      </x:c>
      <x:c r="J153" s="30" t="str">
        <x:v>200, 내용 변경, UPDATED='EDITED'</x:v>
      </x:c>
      <x:c r="K153" s="44" t="str"/>
      <x:c r="L153" s="45" t="str"/>
      <x:c r="M153" s="45" t="str"/>
      <x:c r="N153" s="30" t="str"/>
    </x:row>
    <x:row r="154" ht="48" customHeight="1">
      <x:c r="A154" s="42" t="str">
        <x:v>TC-151</x:v>
      </x:c>
      <x:c r="B154" s="30" t="str">
        <x:v>문의답변</x:v>
      </x:c>
      <x:c r="C154" s="30" t="str">
        <x:v>삭제</x:v>
      </x:c>
      <x:c r="D154" s="42" t="str">
        <x:v>정상</x:v>
      </x:c>
      <x:c r="E154" s="42" t="str">
        <x:v>보통</x:v>
      </x:c>
      <x:c r="F154" s="30" t="str">
        <x:v>DELETE /api/question/{boardNo}/comments/{answerNo}</x:v>
      </x:c>
      <x:c r="G154" s="30" t="str">
        <x:v>관리자 답변 삭제</x:v>
      </x:c>
      <x:c r="H154" s="30" t="str">
        <x:v>ROLE_ADMIN + 답변</x:v>
      </x:c>
      <x:c r="I154" s="30" t="str">
        <x:v>삭제 후 상세 조회</x:v>
      </x:c>
      <x:c r="J154" s="30" t="str">
        <x:v>200, ANSWER.DELETED='Y', 목록 제외</x:v>
      </x:c>
      <x:c r="K154" s="44" t="str"/>
      <x:c r="L154" s="45" t="str"/>
      <x:c r="M154" s="45" t="str"/>
      <x:c r="N154" s="30" t="str"/>
    </x:row>
    <x:row r="155" ht="48" customHeight="1">
      <x:c r="A155" s="42" t="str">
        <x:v>TC-152</x:v>
      </x:c>
      <x:c r="B155" s="30" t="str">
        <x:v>신고</x:v>
      </x:c>
      <x:c r="C155" s="30" t="str">
        <x:v>작성</x:v>
      </x:c>
      <x:c r="D155" s="42" t="str">
        <x:v>정상</x:v>
      </x:c>
      <x:c r="E155" s="42" t="str">
        <x:v>높음</x:v>
      </x:c>
      <x:c r="F155" s="30" t="str">
        <x:v>POST /api/report</x:v>
      </x:c>
      <x:c r="G155" s="30" t="str">
        <x:v>정상 신고</x:v>
      </x:c>
      <x:c r="H155" s="30" t="str">
        <x:v>로그인 + 대상 글 존재</x:v>
      </x:c>
      <x:c r="I155" s="30" t="str">
        <x:v>reportCategory/boardType/targetNo/content</x:v>
      </x:c>
      <x:c r="J155" s="30" t="str">
        <x:v>201, UPDATED='N', 관리자 목록 노출</x:v>
      </x:c>
      <x:c r="K155" s="44" t="str"/>
      <x:c r="L155" s="45" t="str"/>
      <x:c r="M155" s="45" t="str"/>
      <x:c r="N155" s="30" t="str"/>
    </x:row>
    <x:row r="156" ht="48" customHeight="1">
      <x:c r="A156" s="42" t="str">
        <x:v>TC-153</x:v>
      </x:c>
      <x:c r="B156" s="30" t="str">
        <x:v>신고</x:v>
      </x:c>
      <x:c r="C156" s="30" t="str">
        <x:v>작성</x:v>
      </x:c>
      <x:c r="D156" s="42" t="str">
        <x:v>인증</x:v>
      </x:c>
      <x:c r="E156" s="42" t="str">
        <x:v>높음</x:v>
      </x:c>
      <x:c r="F156" s="30" t="str">
        <x:v>POST /api/report</x:v>
      </x:c>
      <x:c r="G156" s="30" t="str">
        <x:v>비로그인 신고</x:v>
      </x:c>
      <x:c r="H156" s="30" t="str">
        <x:v>로그아웃</x:v>
      </x:c>
      <x:c r="I156" s="30" t="str">
        <x:v>토큰 없이 요청</x:v>
      </x:c>
      <x:c r="J156" s="30" t="str">
        <x:v>401, 생성 없음</x:v>
      </x:c>
      <x:c r="K156" s="44" t="str"/>
      <x:c r="L156" s="45" t="str"/>
      <x:c r="M156" s="45" t="str"/>
      <x:c r="N156" s="30" t="str"/>
    </x:row>
    <x:row r="157" ht="48" customHeight="1">
      <x:c r="A157" s="42" t="str">
        <x:v>TC-154</x:v>
      </x:c>
      <x:c r="B157" s="30" t="str">
        <x:v>신고</x:v>
      </x:c>
      <x:c r="C157" s="30" t="str">
        <x:v>작성</x:v>
      </x:c>
      <x:c r="D157" s="42" t="str">
        <x:v>데이터무결성</x:v>
      </x:c>
      <x:c r="E157" s="42" t="str">
        <x:v>높음</x:v>
      </x:c>
      <x:c r="F157" s="30" t="str">
        <x:v>POST /api/report</x:v>
      </x:c>
      <x:c r="G157" s="30" t="str">
        <x:v>동일 사용자 동일 대상 중복 신고</x:v>
      </x:c>
      <x:c r="H157" s="30" t="str">
        <x:v>기존 신고 존재</x:v>
      </x:c>
      <x:c r="I157" s="30" t="str">
        <x:v>같은 boardType/targetNo 재신고</x:v>
      </x:c>
      <x:c r="J157" s="30" t="str">
        <x:v>409, 1건 유지</x:v>
      </x:c>
      <x:c r="K157" s="44" t="str"/>
      <x:c r="L157" s="45" t="str"/>
      <x:c r="M157" s="45" t="str"/>
      <x:c r="N157" s="30" t="str"/>
    </x:row>
    <x:row r="158" ht="48" customHeight="1">
      <x:c r="A158" s="42" t="str">
        <x:v>TC-155</x:v>
      </x:c>
      <x:c r="B158" s="30" t="str">
        <x:v>신고</x:v>
      </x:c>
      <x:c r="C158" s="30" t="str">
        <x:v>작성</x:v>
      </x:c>
      <x:c r="D158" s="42" t="str">
        <x:v>정상</x:v>
      </x:c>
      <x:c r="E158" s="42" t="str">
        <x:v>보통</x:v>
      </x:c>
      <x:c r="F158" s="30" t="str">
        <x:v>POST /api/report</x:v>
      </x:c>
      <x:c r="G158" s="30" t="str">
        <x:v>다른 사용자의 동일 대상 신고</x:v>
      </x:c>
      <x:c r="H158" s="30" t="str">
        <x:v>A 신고 존재, B 로그인</x:v>
      </x:c>
      <x:c r="I158" s="30" t="str">
        <x:v>B가 동일 대상 신고</x:v>
      </x:c>
      <x:c r="J158" s="30" t="str">
        <x:v>201, 신고 건수 집계 증가</x:v>
      </x:c>
      <x:c r="K158" s="44" t="str"/>
      <x:c r="L158" s="45" t="str"/>
      <x:c r="M158" s="45" t="str"/>
      <x:c r="N158" s="30" t="str"/>
    </x:row>
    <x:row r="159" ht="48" customHeight="1">
      <x:c r="A159" s="42" t="str">
        <x:v>TC-156</x:v>
      </x:c>
      <x:c r="B159" s="30" t="str">
        <x:v>신고</x:v>
      </x:c>
      <x:c r="C159" s="30" t="str">
        <x:v>작성</x:v>
      </x:c>
      <x:c r="D159" s="42" t="str">
        <x:v>입력오류</x:v>
      </x:c>
      <x:c r="E159" s="42" t="str">
        <x:v>높음</x:v>
      </x:c>
      <x:c r="F159" s="30" t="str">
        <x:v>POST /api/report</x:v>
      </x:c>
      <x:c r="G159" s="30" t="str">
        <x:v>필수값 누락</x:v>
      </x:c>
      <x:c r="H159" s="30" t="str">
        <x:v>로그인</x:v>
      </x:c>
      <x:c r="I159" s="30" t="str">
        <x:v>분류/게시판종류/내용 공백</x:v>
      </x:c>
      <x:c r="J159" s="30" t="str">
        <x:v>400, 생성 없음</x:v>
      </x:c>
      <x:c r="K159" s="44" t="str"/>
      <x:c r="L159" s="45" t="str"/>
      <x:c r="M159" s="45" t="str"/>
      <x:c r="N159" s="30" t="str"/>
    </x:row>
    <x:row r="160" ht="48" customHeight="1">
      <x:c r="A160" s="42" t="str">
        <x:v>TC-157</x:v>
      </x:c>
      <x:c r="B160" s="30" t="str">
        <x:v>신고</x:v>
      </x:c>
      <x:c r="C160" s="30" t="str">
        <x:v>작성</x:v>
      </x:c>
      <x:c r="D160" s="42" t="str">
        <x:v>경계</x:v>
      </x:c>
      <x:c r="E160" s="42" t="str">
        <x:v>보통</x:v>
      </x:c>
      <x:c r="F160" s="30" t="str">
        <x:v>POST /api/report</x:v>
      </x:c>
      <x:c r="G160" s="30" t="str">
        <x:v>내용 길이</x:v>
      </x:c>
      <x:c r="H160" s="30" t="str">
        <x:v>로그인</x:v>
      </x:c>
      <x:c r="I160" s="30" t="str">
        <x:v>1/2/500/501자</x:v>
      </x:c>
      <x:c r="J160" s="30" t="str">
        <x:v>2~500자만 통과</x:v>
      </x:c>
      <x:c r="K160" s="44" t="str"/>
      <x:c r="L160" s="45" t="str"/>
      <x:c r="M160" s="45" t="str"/>
      <x:c r="N160" s="30" t="str"/>
    </x:row>
    <x:row r="161" ht="48" customHeight="1">
      <x:c r="A161" s="42" t="str">
        <x:v>TC-158</x:v>
      </x:c>
      <x:c r="B161" s="30" t="str">
        <x:v>신고</x:v>
      </x:c>
      <x:c r="C161" s="30" t="str">
        <x:v>작성</x:v>
      </x:c>
      <x:c r="D161" s="42" t="str">
        <x:v>입력오류</x:v>
      </x:c>
      <x:c r="E161" s="42" t="str">
        <x:v>높음</x:v>
      </x:c>
      <x:c r="F161" s="30" t="str">
        <x:v>POST /api/report</x:v>
      </x:c>
      <x:c r="G161" s="30" t="str">
        <x:v>존재하지 않는 대상 번호</x:v>
      </x:c>
      <x:c r="H161" s="30" t="str">
        <x:v>로그인</x:v>
      </x:c>
      <x:c r="I161" s="30" t="str">
        <x:v>targetNo=99999999</x:v>
      </x:c>
      <x:c r="J161" s="30" t="str">
        <x:v>400/404, 고아 신고 미생성</x:v>
      </x:c>
      <x:c r="K161" s="44" t="str"/>
      <x:c r="L161" s="45" t="str"/>
      <x:c r="M161" s="45" t="str"/>
      <x:c r="N161" s="30" t="str"/>
    </x:row>
    <x:row r="162" ht="48" customHeight="1">
      <x:c r="A162" s="42" t="str">
        <x:v>TC-159</x:v>
      </x:c>
      <x:c r="B162" s="30" t="str">
        <x:v>신고</x:v>
      </x:c>
      <x:c r="C162" s="30" t="str">
        <x:v>목록</x:v>
      </x:c>
      <x:c r="D162" s="42" t="str">
        <x:v>정상</x:v>
      </x:c>
      <x:c r="E162" s="42" t="str">
        <x:v>높음</x:v>
      </x:c>
      <x:c r="F162" s="30" t="str">
        <x:v>GET /api/report</x:v>
      </x:c>
      <x:c r="G162" s="30" t="str">
        <x:v>관리자 필터 목록</x:v>
      </x:c>
      <x:c r="H162" s="30" t="str">
        <x:v>ROLE_ADMIN + 다양한 신고</x:v>
      </x:c>
      <x:c r="I162" s="30" t="str">
        <x:v>category/boardType/status/page 조합</x:v>
      </x:c>
      <x:c r="J162" s="30" t="str">
        <x:v>200, 조건/집계/페이지 일치</x:v>
      </x:c>
      <x:c r="K162" s="44" t="str"/>
      <x:c r="L162" s="45" t="str"/>
      <x:c r="M162" s="45" t="str"/>
      <x:c r="N162" s="30" t="str"/>
    </x:row>
    <x:row r="163" ht="48" customHeight="1">
      <x:c r="A163" s="42" t="str">
        <x:v>TC-160</x:v>
      </x:c>
      <x:c r="B163" s="30" t="str">
        <x:v>신고</x:v>
      </x:c>
      <x:c r="C163" s="30" t="str">
        <x:v>목록</x:v>
      </x:c>
      <x:c r="D163" s="42" t="str">
        <x:v>인가</x:v>
      </x:c>
      <x:c r="E163" s="42" t="str">
        <x:v>높음</x:v>
      </x:c>
      <x:c r="F163" s="30" t="str">
        <x:v>GET /api/report</x:v>
      </x:c>
      <x:c r="G163" s="30" t="str">
        <x:v>일반 회원 목록 접근</x:v>
      </x:c>
      <x:c r="H163" s="30" t="str">
        <x:v>ROLE_USER</x:v>
      </x:c>
      <x:c r="I163" s="30" t="str">
        <x:v>GET 요청</x:v>
      </x:c>
      <x:c r="J163" s="30" t="str">
        <x:v>403, 데이터 미노출</x:v>
      </x:c>
      <x:c r="K163" s="44" t="str"/>
      <x:c r="L163" s="45" t="str"/>
      <x:c r="M163" s="45" t="str"/>
      <x:c r="N163" s="30" t="str"/>
    </x:row>
    <x:row r="164" ht="48" customHeight="1">
      <x:c r="A164" s="42" t="str">
        <x:v>TC-161</x:v>
      </x:c>
      <x:c r="B164" s="30" t="str">
        <x:v>신고</x:v>
      </x:c>
      <x:c r="C164" s="30" t="str">
        <x:v>처리완료</x:v>
      </x:c>
      <x:c r="D164" s="42" t="str">
        <x:v>정상</x:v>
      </x:c>
      <x:c r="E164" s="42" t="str">
        <x:v>높음</x:v>
      </x:c>
      <x:c r="F164" s="30" t="str">
        <x:v>PATCH /api/report/{reportNo}</x:v>
      </x:c>
      <x:c r="G164" s="30" t="str">
        <x:v>관리자 처리완료</x:v>
      </x:c>
      <x:c r="H164" s="30" t="str">
        <x:v>ROLE_ADMIN + UPDATED='N'</x:v>
      </x:c>
      <x:c r="I164" s="30" t="str">
        <x:v>PATCH</x:v>
      </x:c>
      <x:c r="J164" s="30" t="str">
        <x:v>200, UPDATED='Y'</x:v>
      </x:c>
      <x:c r="K164" s="44" t="str"/>
      <x:c r="L164" s="45" t="str"/>
      <x:c r="M164" s="45" t="str"/>
      <x:c r="N164" s="30" t="str"/>
    </x:row>
    <x:row r="165" ht="48" customHeight="1">
      <x:c r="A165" s="42" t="str">
        <x:v>TC-162</x:v>
      </x:c>
      <x:c r="B165" s="30" t="str">
        <x:v>신고</x:v>
      </x:c>
      <x:c r="C165" s="30" t="str">
        <x:v>처리완료</x:v>
      </x:c>
      <x:c r="D165" s="42" t="str">
        <x:v>인가</x:v>
      </x:c>
      <x:c r="E165" s="42" t="str">
        <x:v>높음</x:v>
      </x:c>
      <x:c r="F165" s="30" t="str">
        <x:v>PATCH /api/report/{reportNo}</x:v>
      </x:c>
      <x:c r="G165" s="30" t="str">
        <x:v>일반 회원 처리</x:v>
      </x:c>
      <x:c r="H165" s="30" t="str">
        <x:v>ROLE_USER</x:v>
      </x:c>
      <x:c r="I165" s="30" t="str">
        <x:v>PATCH</x:v>
      </x:c>
      <x:c r="J165" s="30" t="str">
        <x:v>403, 상태 유지</x:v>
      </x:c>
      <x:c r="K165" s="44" t="str"/>
      <x:c r="L165" s="45" t="str"/>
      <x:c r="M165" s="45" t="str"/>
      <x:c r="N165" s="30" t="str"/>
    </x:row>
    <x:row r="166" ht="48" customHeight="1">
      <x:c r="A166" s="42" t="str">
        <x:v>TC-163</x:v>
      </x:c>
      <x:c r="B166" s="30" t="str">
        <x:v>신고</x:v>
      </x:c>
      <x:c r="C166" s="30" t="str">
        <x:v>처리완료</x:v>
      </x:c>
      <x:c r="D166" s="42" t="str">
        <x:v>경계</x:v>
      </x:c>
      <x:c r="E166" s="42" t="str">
        <x:v>낮음</x:v>
      </x:c>
      <x:c r="F166" s="30" t="str">
        <x:v>PATCH /api/report/{reportNo}</x:v>
      </x:c>
      <x:c r="G166" s="30" t="str">
        <x:v>이미 완료된 신고 재처리</x:v>
      </x:c>
      <x:c r="H166" s="30" t="str">
        <x:v>ROLE_ADMIN + UPDATED='Y'</x:v>
      </x:c>
      <x:c r="I166" s="30" t="str">
        <x:v>재호출</x:v>
      </x:c>
      <x:c r="J166" s="30" t="str">
        <x:v>409/400 또는 명시적 멱등 성공, 정책 일관</x:v>
      </x:c>
      <x:c r="K166" s="44" t="str"/>
      <x:c r="L166" s="45" t="str"/>
      <x:c r="M166" s="45" t="str"/>
      <x:c r="N166" s="30" t="str"/>
    </x:row>
    <x:row r="167" ht="48" customHeight="1">
      <x:c r="A167" s="42" t="str">
        <x:v>TC-164</x:v>
      </x:c>
      <x:c r="B167" s="30" t="str">
        <x:v>신고</x:v>
      </x:c>
      <x:c r="C167" s="30" t="str">
        <x:v>목록</x:v>
      </x:c>
      <x:c r="D167" s="42" t="str">
        <x:v>경계</x:v>
      </x:c>
      <x:c r="E167" s="42" t="str">
        <x:v>보통</x:v>
      </x:c>
      <x:c r="F167" s="30" t="str">
        <x:v>GET /api/report?page=-1</x:v>
      </x:c>
      <x:c r="G167" s="30" t="str">
        <x:v>음수 페이지</x:v>
      </x:c>
      <x:c r="H167" s="30" t="str">
        <x:v>ROLE_ADMIN</x:v>
      </x:c>
      <x:c r="I167" s="30" t="str">
        <x:v>page=-1</x:v>
      </x:c>
      <x:c r="J167" s="30" t="str">
        <x:v>1페이지 보정 또는 400, 500 금지</x:v>
      </x:c>
      <x:c r="K167" s="44" t="str"/>
      <x:c r="L167" s="45" t="str"/>
      <x:c r="M167" s="45" t="str"/>
      <x:c r="N167" s="30" t="str"/>
    </x:row>
    <x:row r="168" ht="48" customHeight="1">
      <x:c r="A168" s="42" t="str">
        <x:v>TC-165</x:v>
      </x:c>
      <x:c r="B168" s="30" t="str">
        <x:v>홈/통계</x:v>
      </x:c>
      <x:c r="C168" s="30" t="str">
        <x:v>홈 조회</x:v>
      </x:c>
      <x:c r="D168" s="42" t="str">
        <x:v>정상</x:v>
      </x:c>
      <x:c r="E168" s="42" t="str">
        <x:v>보통</x:v>
      </x:c>
      <x:c r="F168" s="30" t="str">
        <x:v>GET /api/home</x:v>
      </x:c>
      <x:c r="G168" s="30" t="str">
        <x:v>웰컴 정보 조회</x:v>
      </x:c>
      <x:c r="H168" s="30" t="str">
        <x:v>-</x:v>
      </x:c>
      <x:c r="I168" s="30" t="str">
        <x:v>GET 요청</x:v>
      </x:c>
      <x:c r="J168" s="30" t="str">
        <x:v>200, 통계 필드 null/형식 오류 없이 반환</x:v>
      </x:c>
      <x:c r="K168" s="44" t="str"/>
      <x:c r="L168" s="45" t="str"/>
      <x:c r="M168" s="45" t="str"/>
      <x:c r="N168" s="30" t="str"/>
    </x:row>
    <x:row r="169" ht="48" customHeight="1">
      <x:c r="A169" s="42" t="str">
        <x:v>TC-166</x:v>
      </x:c>
      <x:c r="B169" s="30" t="str">
        <x:v>환경센서</x:v>
      </x:c>
      <x:c r="C169" s="30" t="str">
        <x:v>데이터 저장</x:v>
      </x:c>
      <x:c r="D169" s="42" t="str">
        <x:v>정상</x:v>
      </x:c>
      <x:c r="E169" s="42" t="str">
        <x:v>높음</x:v>
      </x:c>
      <x:c r="F169" s="30" t="str">
        <x:v>POST /api/tree</x:v>
      </x:c>
      <x:c r="G169" s="30" t="str">
        <x:v>정상 센서 데이터</x:v>
      </x:c>
      <x:c r="H169" s="30" t="str">
        <x:v>-</x:v>
      </x:c>
      <x:c r="I169" s="30" t="str">
        <x:v>zoneName, temperature, humidity, soilMoisture</x:v>
      </x:c>
      <x:c r="J169" s="30" t="str">
        <x:v>201, 측정시각 포함 DB 저장</x:v>
      </x:c>
      <x:c r="K169" s="44" t="str"/>
      <x:c r="L169" s="45" t="str"/>
      <x:c r="M169" s="45" t="str"/>
      <x:c r="N169" s="30" t="str"/>
    </x:row>
    <x:row r="170" ht="48" customHeight="1">
      <x:c r="A170" s="42" t="str">
        <x:v>TC-167</x:v>
      </x:c>
      <x:c r="B170" s="30" t="str">
        <x:v>환경센서</x:v>
      </x:c>
      <x:c r="C170" s="30" t="str">
        <x:v>데이터 저장</x:v>
      </x:c>
      <x:c r="D170" s="42" t="str">
        <x:v>입력오류</x:v>
      </x:c>
      <x:c r="E170" s="42" t="str">
        <x:v>보통</x:v>
      </x:c>
      <x:c r="F170" s="30" t="str">
        <x:v>POST /api/tree</x:v>
      </x:c>
      <x:c r="G170" s="30" t="str">
        <x:v>구역명 공백</x:v>
      </x:c>
      <x:c r="H170" s="30" t="str">
        <x:v>-</x:v>
      </x:c>
      <x:c r="I170" s="30" t="str">
        <x:v>zoneName=""</x:v>
      </x:c>
      <x:c r="J170" s="30" t="str">
        <x:v>400, 저장 없음</x:v>
      </x:c>
      <x:c r="K170" s="44" t="str"/>
      <x:c r="L170" s="45" t="str"/>
      <x:c r="M170" s="45" t="str"/>
      <x:c r="N170" s="30" t="str"/>
    </x:row>
    <x:row r="171" ht="48" customHeight="1">
      <x:c r="A171" s="42" t="str">
        <x:v>TC-168</x:v>
      </x:c>
      <x:c r="B171" s="30" t="str">
        <x:v>환경센서</x:v>
      </x:c>
      <x:c r="C171" s="30" t="str">
        <x:v>데이터 저장</x:v>
      </x:c>
      <x:c r="D171" s="42" t="str">
        <x:v>입력오류</x:v>
      </x:c>
      <x:c r="E171" s="42" t="str">
        <x:v>높음</x:v>
      </x:c>
      <x:c r="F171" s="30" t="str">
        <x:v>POST /api/tree</x:v>
      </x:c>
      <x:c r="G171" s="30" t="str">
        <x:v>수치 필드 누락</x:v>
      </x:c>
      <x:c r="H171" s="30" t="str">
        <x:v>-</x:v>
      </x:c>
      <x:c r="I171" s="30" t="str">
        <x:v>수치 필드를 하나씩 누락</x:v>
      </x:c>
      <x:c r="J171" s="30" t="str">
        <x:v>400, 0으로 묵시 저장 금지</x:v>
      </x:c>
      <x:c r="K171" s="44" t="str"/>
      <x:c r="L171" s="45" t="str"/>
      <x:c r="M171" s="45" t="str"/>
      <x:c r="N171" s="30" t="str">
        <x:v>primitive double + @NotNull 동작 확인</x:v>
      </x:c>
    </x:row>
    <x:row r="172" ht="48" customHeight="1">
      <x:c r="A172" s="42" t="str">
        <x:v>TC-169</x:v>
      </x:c>
      <x:c r="B172" s="30" t="str">
        <x:v>환경센서</x:v>
      </x:c>
      <x:c r="C172" s="30" t="str">
        <x:v>데이터 저장</x:v>
      </x:c>
      <x:c r="D172" s="42" t="str">
        <x:v>경계</x:v>
      </x:c>
      <x:c r="E172" s="42" t="str">
        <x:v>보통</x:v>
      </x:c>
      <x:c r="F172" s="30" t="str">
        <x:v>POST /api/tree</x:v>
      </x:c>
      <x:c r="G172" s="30" t="str">
        <x:v>비현실적 범위</x:v>
      </x:c>
      <x:c r="H172" s="30" t="str">
        <x:v>-</x:v>
      </x:c>
      <x:c r="I172" s="30" t="str">
        <x:v>습도 -1/101, 토양습도 -1/101, 비현실 온도</x:v>
      </x:c>
      <x:c r="J172" s="30" t="str">
        <x:v>400, 범위 검증</x:v>
      </x:c>
      <x:c r="K172" s="44" t="str"/>
      <x:c r="L172" s="45" t="str"/>
      <x:c r="M172" s="45" t="str"/>
      <x:c r="N172" s="30" t="str"/>
    </x:row>
    <x:row r="173" ht="48" customHeight="1">
      <x:c r="A173" s="42" t="str">
        <x:v>TC-170</x:v>
      </x:c>
      <x:c r="B173" s="30" t="str">
        <x:v>환경센서</x:v>
      </x:c>
      <x:c r="C173" s="30" t="str">
        <x:v>일간 조회</x:v>
      </x:c>
      <x:c r="D173" s="42" t="str">
        <x:v>정상</x:v>
      </x:c>
      <x:c r="E173" s="42" t="str">
        <x:v>높음</x:v>
      </x:c>
      <x:c r="F173" s="30" t="str">
        <x:v>GET /api/tree/day</x:v>
      </x:c>
      <x:c r="G173" s="30" t="str">
        <x:v>현재 기준 24시간 데이터</x:v>
      </x:c>
      <x:c r="H173" s="30" t="str">
        <x:v>24시간 내/외 데이터 준비</x:v>
      </x:c>
      <x:c r="I173" s="30" t="str">
        <x:v>GET 요청</x:v>
      </x:c>
      <x:c r="J173" s="30" t="str">
        <x:v>200, 최근 24시간만 시간대별 평균·오름차순</x:v>
      </x:c>
      <x:c r="K173" s="44" t="str"/>
      <x:c r="L173" s="45" t="str"/>
      <x:c r="M173" s="45" t="str"/>
      <x:c r="N173" s="30" t="str"/>
    </x:row>
    <x:row r="174" ht="48" customHeight="1">
      <x:c r="A174" s="42" t="str">
        <x:v>TC-171</x:v>
      </x:c>
      <x:c r="B174" s="30" t="str">
        <x:v>탄소통계</x:v>
      </x:c>
      <x:c r="C174" s="30" t="str">
        <x:v>조회</x:v>
      </x:c>
      <x:c r="D174" s="42" t="str">
        <x:v>경계</x:v>
      </x:c>
      <x:c r="E174" s="42" t="str">
        <x:v>보통</x:v>
      </x:c>
      <x:c r="F174" s="30" t="str">
        <x:v>GET /api/tree/carbon-reduction</x:v>
      </x:c>
      <x:c r="G174" s="30" t="str">
        <x:v>식목 인증 0건</x:v>
      </x:c>
      <x:c r="H174" s="30" t="str">
        <x:v>PLANT 인증 없음</x:v>
      </x:c>
      <x:c r="I174" s="30" t="str">
        <x:v>GET 요청</x:v>
      </x:c>
      <x:c r="J174" s="30" t="str">
        <x:v>200, 빈 배열</x:v>
      </x:c>
      <x:c r="K174" s="44" t="str"/>
      <x:c r="L174" s="45" t="str"/>
      <x:c r="M174" s="45" t="str"/>
      <x:c r="N174" s="30" t="str"/>
    </x:row>
    <x:row r="175" ht="48" customHeight="1">
      <x:c r="A175" s="42" t="str">
        <x:v>TC-172</x:v>
      </x:c>
      <x:c r="B175" s="30" t="str">
        <x:v>탄소통계</x:v>
      </x:c>
      <x:c r="C175" s="30" t="str">
        <x:v>조회</x:v>
      </x:c>
      <x:c r="D175" s="42" t="str">
        <x:v>정상</x:v>
      </x:c>
      <x:c r="E175" s="42" t="str">
        <x:v>높음</x:v>
      </x:c>
      <x:c r="F175" s="30" t="str">
        <x:v>GET /api/tree/carbon-reduction</x:v>
      </x:c>
      <x:c r="G175" s="30" t="str">
        <x:v>연도별 식목 계산</x:v>
      </x:c>
      <x:c r="H175" s="30" t="str">
        <x:v>2개 연도 PLANT 인증</x:v>
      </x:c>
      <x:c r="I175" s="30" t="str">
        <x:v>수기 계산값과 비교</x:v>
      </x:c>
      <x:c r="J175" s="30" t="str">
        <x:v>마지막 식재연도+9년까지, 소수 1자리 일치</x:v>
      </x:c>
      <x:c r="K175" s="44" t="str"/>
      <x:c r="L175" s="45" t="str"/>
      <x:c r="M175" s="45" t="str"/>
      <x:c r="N175" s="30" t="str"/>
    </x:row>
    <x:row r="176" ht="48" customHeight="1">
      <x:c r="A176" s="42" t="str">
        <x:v>TC-173</x:v>
      </x:c>
      <x:c r="B176" s="30" t="str">
        <x:v>탄소통계</x:v>
      </x:c>
      <x:c r="C176" s="30" t="str">
        <x:v>데이터무결성</x:v>
      </x:c>
      <x:c r="D176" s="42" t="str">
        <x:v>데이터무결성</x:v>
      </x:c>
      <x:c r="E176" s="42" t="str">
        <x:v>높음</x:v>
      </x:c>
      <x:c r="F176" s="30" t="str">
        <x:v>GET /api/tree/carbon-reduction</x:v>
      </x:c>
      <x:c r="G176" s="30" t="str">
        <x:v>PLOG·삭제 PLANT 제외</x:v>
      </x:c>
      <x:c r="H176" s="30" t="str">
        <x:v>PLOG 수량 및 DELETED='Y' PLANT 존재</x:v>
      </x:c>
      <x:c r="I176" s="30" t="str">
        <x:v>통계 조회</x:v>
      </x:c>
      <x:c r="J176" s="30" t="str">
        <x:v>CATEGORY='PLANT' AND DELETED='N'만 집계</x:v>
      </x:c>
      <x:c r="K176" s="44" t="str"/>
      <x:c r="L176" s="45" t="str"/>
      <x:c r="M176" s="45" t="str"/>
      <x:c r="N176" s="30" t="str"/>
    </x:row>
  </x:sheetData>
  <x:mergeCells>
    <x:mergeCell ref="A1:N1"/>
    <x:mergeCell ref="A2:N2"/>
  </x:mergeCells>
  <x:conditionalFormatting sqref="L4:L176">
    <x:cfRule type="expression" dxfId="0" priority="1">
      <x:formula>L4="P"</x:formula>
    </x:cfRule>
    <x:cfRule type="expression" dxfId="1" priority="2">
      <x:formula>L4="F"</x:formula>
    </x:cfRule>
    <x:cfRule type="expression" dxfId="2" priority="3">
      <x:formula>L4="보류"</x:formula>
    </x:cfRule>
  </x:conditionalFormatting>
  <x:conditionalFormatting sqref="E4:E176">
    <x:cfRule type="expression" dxfId="3" priority="4">
      <x:formula>E4="높음"</x:formula>
    </x:cfRule>
  </x:conditionalFormatting>
  <x:dataValidations count="3">
    <x:dataValidation type="list" sqref="D4:D176">
      <x:formula1>"정상,입력오류,인증,인가,소유권,경계,데이터무결성,회귀"</x:formula1>
    </x:dataValidation>
    <x:dataValidation type="list" sqref="E4:E176">
      <x:formula1>"높음,보통,낮음"</x:formula1>
    </x:dataValidation>
    <x:dataValidation type="list" sqref="L4:L176">
      <x:formula1>"P,F,보류"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381dee656e47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0" hidden="0" customWidth="1"/>
    <x:col min="4" max="4" width="42" hidden="0" customWidth="1"/>
    <x:col min="5" max="5" width="34" hidden="0" customWidth="1"/>
    <x:col min="6" max="6" width="34" hidden="0" customWidth="1"/>
    <x:col min="7" max="7" width="12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30" hidden="0" customWidth="1"/>
  </x:cols>
  <x:sheetData>
    <x:row r="1" ht="34" customHeight="1">
      <x:c r="A1" s="5" t="str">
        <x:v>4. 발견된 버그 / 결함 목록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Fail이 발생하면 관련 TC와 연결합니다. 상태: Open → Fixed → 재테스트 Pass → Closed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2" t="str">
        <x:v>BUG-ID</x:v>
      </x:c>
      <x:c r="B3" s="22" t="str">
        <x:v>관련 TC</x:v>
      </x:c>
      <x:c r="C3" s="22" t="str">
        <x:v>심각도</x:v>
      </x:c>
      <x:c r="D3" s="22" t="str">
        <x:v>재현 절차</x:v>
      </x:c>
      <x:c r="E3" s="22" t="str">
        <x:v>기대 결과</x:v>
      </x:c>
      <x:c r="F3" s="22" t="str">
        <x:v>실제 결과</x:v>
      </x:c>
      <x:c r="G3" s="22" t="str">
        <x:v>상태</x:v>
      </x:c>
      <x:c r="H3" s="22" t="str">
        <x:v>담당자</x:v>
      </x:c>
      <x:c r="I3" s="22" t="str">
        <x:v>이슈 #</x:v>
      </x:c>
      <x:c r="J3" s="22" t="str">
        <x:v>발견일</x:v>
      </x:c>
      <x:c r="K3" s="22" t="str">
        <x:v>수정일</x:v>
      </x:c>
      <x:c r="L3" s="22" t="str">
        <x:v>비고</x:v>
      </x:c>
    </x:row>
    <x:row r="4" ht="42" customHeight="1">
      <x:c r="A4" s="30" t="str">
        <x:v>BUG-001</x:v>
      </x:c>
      <x:c r="B4" s="44" t="str"/>
      <x:c r="C4" s="44" t="str"/>
      <x:c r="D4" s="44" t="str"/>
      <x:c r="E4" s="44" t="str"/>
      <x:c r="F4" s="44" t="str"/>
      <x:c r="G4" s="44" t="str"/>
      <x:c r="H4" s="44" t="str"/>
      <x:c r="I4" s="44" t="str"/>
      <x:c r="J4" s="50" t="str"/>
      <x:c r="K4" s="50" t="str"/>
      <x:c r="L4" s="44" t="str"/>
    </x:row>
    <x:row r="5" ht="42" customHeight="1">
      <x:c r="A5" s="30" t="str">
        <x:v>BUG-002</x:v>
      </x:c>
      <x:c r="B5" s="44" t="str"/>
      <x:c r="C5" s="44" t="str"/>
      <x:c r="D5" s="44" t="str"/>
      <x:c r="E5" s="44" t="str"/>
      <x:c r="F5" s="44" t="str"/>
      <x:c r="G5" s="44" t="str"/>
      <x:c r="H5" s="44" t="str"/>
      <x:c r="I5" s="44" t="str"/>
      <x:c r="J5" s="50" t="str"/>
      <x:c r="K5" s="50" t="str"/>
      <x:c r="L5" s="44" t="str"/>
    </x:row>
    <x:row r="6" ht="42" customHeight="1">
      <x:c r="A6" s="30" t="str">
        <x:v>BUG-003</x:v>
      </x:c>
      <x:c r="B6" s="44" t="str"/>
      <x:c r="C6" s="44" t="str"/>
      <x:c r="D6" s="44" t="str"/>
      <x:c r="E6" s="44" t="str"/>
      <x:c r="F6" s="44" t="str"/>
      <x:c r="G6" s="44" t="str"/>
      <x:c r="H6" s="44" t="str"/>
      <x:c r="I6" s="44" t="str"/>
      <x:c r="J6" s="50" t="str"/>
      <x:c r="K6" s="50" t="str"/>
      <x:c r="L6" s="44" t="str"/>
    </x:row>
    <x:row r="7" ht="42" customHeight="1">
      <x:c r="A7" s="30" t="str">
        <x:v>BUG-004</x:v>
      </x:c>
      <x:c r="B7" s="44" t="str"/>
      <x:c r="C7" s="44" t="str"/>
      <x:c r="D7" s="44" t="str"/>
      <x:c r="E7" s="44" t="str"/>
      <x:c r="F7" s="44" t="str"/>
      <x:c r="G7" s="44" t="str"/>
      <x:c r="H7" s="44" t="str"/>
      <x:c r="I7" s="44" t="str"/>
      <x:c r="J7" s="50" t="str"/>
      <x:c r="K7" s="50" t="str"/>
      <x:c r="L7" s="44" t="str"/>
    </x:row>
    <x:row r="8" ht="42" customHeight="1">
      <x:c r="A8" s="30" t="str">
        <x:v>BUG-005</x:v>
      </x:c>
      <x:c r="B8" s="44" t="str"/>
      <x:c r="C8" s="44" t="str"/>
      <x:c r="D8" s="44" t="str"/>
      <x:c r="E8" s="44" t="str"/>
      <x:c r="F8" s="44" t="str"/>
      <x:c r="G8" s="44" t="str"/>
      <x:c r="H8" s="44" t="str"/>
      <x:c r="I8" s="44" t="str"/>
      <x:c r="J8" s="50" t="str"/>
      <x:c r="K8" s="50" t="str"/>
      <x:c r="L8" s="44" t="str"/>
    </x:row>
    <x:row r="9" ht="42" customHeight="1">
      <x:c r="A9" s="30" t="str">
        <x:v>BUG-006</x:v>
      </x:c>
      <x:c r="B9" s="44" t="str"/>
      <x:c r="C9" s="44" t="str"/>
      <x:c r="D9" s="44" t="str"/>
      <x:c r="E9" s="44" t="str"/>
      <x:c r="F9" s="44" t="str"/>
      <x:c r="G9" s="44" t="str"/>
      <x:c r="H9" s="44" t="str"/>
      <x:c r="I9" s="44" t="str"/>
      <x:c r="J9" s="50" t="str"/>
      <x:c r="K9" s="50" t="str"/>
      <x:c r="L9" s="44" t="str"/>
    </x:row>
    <x:row r="10" ht="42" customHeight="1">
      <x:c r="A10" s="30" t="str">
        <x:v>BUG-007</x:v>
      </x:c>
      <x:c r="B10" s="44" t="str"/>
      <x:c r="C10" s="44" t="str"/>
      <x:c r="D10" s="44" t="str"/>
      <x:c r="E10" s="44" t="str"/>
      <x:c r="F10" s="44" t="str"/>
      <x:c r="G10" s="44" t="str"/>
      <x:c r="H10" s="44" t="str"/>
      <x:c r="I10" s="44" t="str"/>
      <x:c r="J10" s="50" t="str"/>
      <x:c r="K10" s="50" t="str"/>
      <x:c r="L10" s="44" t="str"/>
    </x:row>
    <x:row r="11" ht="42" customHeight="1">
      <x:c r="A11" s="30" t="str">
        <x:v>BUG-008</x:v>
      </x:c>
      <x:c r="B11" s="44" t="str"/>
      <x:c r="C11" s="44" t="str"/>
      <x:c r="D11" s="44" t="str"/>
      <x:c r="E11" s="44" t="str"/>
      <x:c r="F11" s="44" t="str"/>
      <x:c r="G11" s="44" t="str"/>
      <x:c r="H11" s="44" t="str"/>
      <x:c r="I11" s="44" t="str"/>
      <x:c r="J11" s="50" t="str"/>
      <x:c r="K11" s="50" t="str"/>
      <x:c r="L11" s="44" t="str"/>
    </x:row>
    <x:row r="12" ht="42" customHeight="1">
      <x:c r="A12" s="30" t="str">
        <x:v>BUG-009</x:v>
      </x:c>
      <x:c r="B12" s="44" t="str"/>
      <x:c r="C12" s="44" t="str"/>
      <x:c r="D12" s="44" t="str"/>
      <x:c r="E12" s="44" t="str"/>
      <x:c r="F12" s="44" t="str"/>
      <x:c r="G12" s="44" t="str"/>
      <x:c r="H12" s="44" t="str"/>
      <x:c r="I12" s="44" t="str"/>
      <x:c r="J12" s="50" t="str"/>
      <x:c r="K12" s="50" t="str"/>
      <x:c r="L12" s="44" t="str"/>
    </x:row>
    <x:row r="13" ht="42" customHeight="1">
      <x:c r="A13" s="30" t="str">
        <x:v>BUG-010</x:v>
      </x:c>
      <x:c r="B13" s="44" t="str"/>
      <x:c r="C13" s="44" t="str"/>
      <x:c r="D13" s="44" t="str"/>
      <x:c r="E13" s="44" t="str"/>
      <x:c r="F13" s="44" t="str"/>
      <x:c r="G13" s="44" t="str"/>
      <x:c r="H13" s="44" t="str"/>
      <x:c r="I13" s="44" t="str"/>
      <x:c r="J13" s="50" t="str"/>
      <x:c r="K13" s="50" t="str"/>
      <x:c r="L13" s="44" t="str"/>
    </x:row>
    <x:row r="14" ht="42" customHeight="1">
      <x:c r="A14" s="30" t="str">
        <x:v>BUG-011</x:v>
      </x:c>
      <x:c r="B14" s="44" t="str"/>
      <x:c r="C14" s="44" t="str"/>
      <x:c r="D14" s="44" t="str"/>
      <x:c r="E14" s="44" t="str"/>
      <x:c r="F14" s="44" t="str"/>
      <x:c r="G14" s="44" t="str"/>
      <x:c r="H14" s="44" t="str"/>
      <x:c r="I14" s="44" t="str"/>
      <x:c r="J14" s="50" t="str"/>
      <x:c r="K14" s="50" t="str"/>
      <x:c r="L14" s="44" t="str"/>
    </x:row>
    <x:row r="15" ht="42" customHeight="1">
      <x:c r="A15" s="30" t="str">
        <x:v>BUG-012</x:v>
      </x:c>
      <x:c r="B15" s="44" t="str"/>
      <x:c r="C15" s="44" t="str"/>
      <x:c r="D15" s="44" t="str"/>
      <x:c r="E15" s="44" t="str"/>
      <x:c r="F15" s="44" t="str"/>
      <x:c r="G15" s="44" t="str"/>
      <x:c r="H15" s="44" t="str"/>
      <x:c r="I15" s="44" t="str"/>
      <x:c r="J15" s="50" t="str"/>
      <x:c r="K15" s="50" t="str"/>
      <x:c r="L15" s="44" t="str"/>
    </x:row>
    <x:row r="16" ht="42" customHeight="1">
      <x:c r="A16" s="30" t="str">
        <x:v>BUG-013</x:v>
      </x:c>
      <x:c r="B16" s="44" t="str"/>
      <x:c r="C16" s="44" t="str"/>
      <x:c r="D16" s="44" t="str"/>
      <x:c r="E16" s="44" t="str"/>
      <x:c r="F16" s="44" t="str"/>
      <x:c r="G16" s="44" t="str"/>
      <x:c r="H16" s="44" t="str"/>
      <x:c r="I16" s="44" t="str"/>
      <x:c r="J16" s="50" t="str"/>
      <x:c r="K16" s="50" t="str"/>
      <x:c r="L16" s="44" t="str"/>
    </x:row>
    <x:row r="17" ht="42" customHeight="1">
      <x:c r="A17" s="30" t="str">
        <x:v>BUG-014</x:v>
      </x:c>
      <x:c r="B17" s="44" t="str"/>
      <x:c r="C17" s="44" t="str"/>
      <x:c r="D17" s="44" t="str"/>
      <x:c r="E17" s="44" t="str"/>
      <x:c r="F17" s="44" t="str"/>
      <x:c r="G17" s="44" t="str"/>
      <x:c r="H17" s="44" t="str"/>
      <x:c r="I17" s="44" t="str"/>
      <x:c r="J17" s="50" t="str"/>
      <x:c r="K17" s="50" t="str"/>
      <x:c r="L17" s="44" t="str"/>
    </x:row>
    <x:row r="18" ht="42" customHeight="1">
      <x:c r="A18" s="30" t="str">
        <x:v>BUG-015</x:v>
      </x:c>
      <x:c r="B18" s="44" t="str"/>
      <x:c r="C18" s="44" t="str"/>
      <x:c r="D18" s="44" t="str"/>
      <x:c r="E18" s="44" t="str"/>
      <x:c r="F18" s="44" t="str"/>
      <x:c r="G18" s="44" t="str"/>
      <x:c r="H18" s="44" t="str"/>
      <x:c r="I18" s="44" t="str"/>
      <x:c r="J18" s="50" t="str"/>
      <x:c r="K18" s="50" t="str"/>
      <x:c r="L18" s="44" t="str"/>
    </x:row>
    <x:row r="19" ht="42" customHeight="1">
      <x:c r="A19" s="30" t="str">
        <x:v>BUG-016</x:v>
      </x:c>
      <x:c r="B19" s="44" t="str"/>
      <x:c r="C19" s="44" t="str"/>
      <x:c r="D19" s="44" t="str"/>
      <x:c r="E19" s="44" t="str"/>
      <x:c r="F19" s="44" t="str"/>
      <x:c r="G19" s="44" t="str"/>
      <x:c r="H19" s="44" t="str"/>
      <x:c r="I19" s="44" t="str"/>
      <x:c r="J19" s="50" t="str"/>
      <x:c r="K19" s="50" t="str"/>
      <x:c r="L19" s="44" t="str"/>
    </x:row>
    <x:row r="20" ht="42" customHeight="1">
      <x:c r="A20" s="30" t="str">
        <x:v>BUG-017</x:v>
      </x:c>
      <x:c r="B20" s="44" t="str"/>
      <x:c r="C20" s="44" t="str"/>
      <x:c r="D20" s="44" t="str"/>
      <x:c r="E20" s="44" t="str"/>
      <x:c r="F20" s="44" t="str"/>
      <x:c r="G20" s="44" t="str"/>
      <x:c r="H20" s="44" t="str"/>
      <x:c r="I20" s="44" t="str"/>
      <x:c r="J20" s="50" t="str"/>
      <x:c r="K20" s="50" t="str"/>
      <x:c r="L20" s="44" t="str"/>
    </x:row>
    <x:row r="21" ht="42" customHeight="1">
      <x:c r="A21" s="30" t="str">
        <x:v>BUG-018</x:v>
      </x:c>
      <x:c r="B21" s="44" t="str"/>
      <x:c r="C21" s="44" t="str"/>
      <x:c r="D21" s="44" t="str"/>
      <x:c r="E21" s="44" t="str"/>
      <x:c r="F21" s="44" t="str"/>
      <x:c r="G21" s="44" t="str"/>
      <x:c r="H21" s="44" t="str"/>
      <x:c r="I21" s="44" t="str"/>
      <x:c r="J21" s="50" t="str"/>
      <x:c r="K21" s="50" t="str"/>
      <x:c r="L21" s="44" t="str"/>
    </x:row>
    <x:row r="22" ht="42" customHeight="1">
      <x:c r="A22" s="30" t="str">
        <x:v>BUG-019</x:v>
      </x:c>
      <x:c r="B22" s="44" t="str"/>
      <x:c r="C22" s="44" t="str"/>
      <x:c r="D22" s="44" t="str"/>
      <x:c r="E22" s="44" t="str"/>
      <x:c r="F22" s="44" t="str"/>
      <x:c r="G22" s="44" t="str"/>
      <x:c r="H22" s="44" t="str"/>
      <x:c r="I22" s="44" t="str"/>
      <x:c r="J22" s="50" t="str"/>
      <x:c r="K22" s="50" t="str"/>
      <x:c r="L22" s="44" t="str"/>
    </x:row>
    <x:row r="23" ht="42" customHeight="1">
      <x:c r="A23" s="30" t="str">
        <x:v>BUG-020</x:v>
      </x:c>
      <x:c r="B23" s="44" t="str"/>
      <x:c r="C23" s="44" t="str"/>
      <x:c r="D23" s="44" t="str"/>
      <x:c r="E23" s="44" t="str"/>
      <x:c r="F23" s="44" t="str"/>
      <x:c r="G23" s="44" t="str"/>
      <x:c r="H23" s="44" t="str"/>
      <x:c r="I23" s="44" t="str"/>
      <x:c r="J23" s="50" t="str"/>
      <x:c r="K23" s="50" t="str"/>
      <x:c r="L23" s="44" t="str"/>
    </x:row>
    <x:row r="24" ht="42" customHeight="1">
      <x:c r="A24" s="30" t="str">
        <x:v>BUG-021</x:v>
      </x:c>
      <x:c r="B24" s="44" t="str"/>
      <x:c r="C24" s="44" t="str"/>
      <x:c r="D24" s="44" t="str"/>
      <x:c r="E24" s="44" t="str"/>
      <x:c r="F24" s="44" t="str"/>
      <x:c r="G24" s="44" t="str"/>
      <x:c r="H24" s="44" t="str"/>
      <x:c r="I24" s="44" t="str"/>
      <x:c r="J24" s="50" t="str"/>
      <x:c r="K24" s="50" t="str"/>
      <x:c r="L24" s="44" t="str"/>
    </x:row>
    <x:row r="25" ht="42" customHeight="1">
      <x:c r="A25" s="30" t="str">
        <x:v>BUG-022</x:v>
      </x:c>
      <x:c r="B25" s="44" t="str"/>
      <x:c r="C25" s="44" t="str"/>
      <x:c r="D25" s="44" t="str"/>
      <x:c r="E25" s="44" t="str"/>
      <x:c r="F25" s="44" t="str"/>
      <x:c r="G25" s="44" t="str"/>
      <x:c r="H25" s="44" t="str"/>
      <x:c r="I25" s="44" t="str"/>
      <x:c r="J25" s="50" t="str"/>
      <x:c r="K25" s="50" t="str"/>
      <x:c r="L25" s="44" t="str"/>
    </x:row>
    <x:row r="26" ht="42" customHeight="1">
      <x:c r="A26" s="30" t="str">
        <x:v>BUG-023</x:v>
      </x:c>
      <x:c r="B26" s="44" t="str"/>
      <x:c r="C26" s="44" t="str"/>
      <x:c r="D26" s="44" t="str"/>
      <x:c r="E26" s="44" t="str"/>
      <x:c r="F26" s="44" t="str"/>
      <x:c r="G26" s="44" t="str"/>
      <x:c r="H26" s="44" t="str"/>
      <x:c r="I26" s="44" t="str"/>
      <x:c r="J26" s="50" t="str"/>
      <x:c r="K26" s="50" t="str"/>
      <x:c r="L26" s="44" t="str"/>
    </x:row>
    <x:row r="27" ht="42" customHeight="1">
      <x:c r="A27" s="30" t="str">
        <x:v>BUG-024</x:v>
      </x:c>
      <x:c r="B27" s="44" t="str"/>
      <x:c r="C27" s="44" t="str"/>
      <x:c r="D27" s="44" t="str"/>
      <x:c r="E27" s="44" t="str"/>
      <x:c r="F27" s="44" t="str"/>
      <x:c r="G27" s="44" t="str"/>
      <x:c r="H27" s="44" t="str"/>
      <x:c r="I27" s="44" t="str"/>
      <x:c r="J27" s="50" t="str"/>
      <x:c r="K27" s="50" t="str"/>
      <x:c r="L27" s="44" t="str"/>
    </x:row>
    <x:row r="28" ht="42" customHeight="1">
      <x:c r="A28" s="30" t="str">
        <x:v>BUG-025</x:v>
      </x:c>
      <x:c r="B28" s="44" t="str"/>
      <x:c r="C28" s="44" t="str"/>
      <x:c r="D28" s="44" t="str"/>
      <x:c r="E28" s="44" t="str"/>
      <x:c r="F28" s="44" t="str"/>
      <x:c r="G28" s="44" t="str"/>
      <x:c r="H28" s="44" t="str"/>
      <x:c r="I28" s="44" t="str"/>
      <x:c r="J28" s="50" t="str"/>
      <x:c r="K28" s="50" t="str"/>
      <x:c r="L28" s="44" t="str"/>
    </x:row>
    <x:row r="29" ht="42" customHeight="1">
      <x:c r="A29" s="30" t="str">
        <x:v>BUG-026</x:v>
      </x:c>
      <x:c r="B29" s="44" t="str"/>
      <x:c r="C29" s="44" t="str"/>
      <x:c r="D29" s="44" t="str"/>
      <x:c r="E29" s="44" t="str"/>
      <x:c r="F29" s="44" t="str"/>
      <x:c r="G29" s="44" t="str"/>
      <x:c r="H29" s="44" t="str"/>
      <x:c r="I29" s="44" t="str"/>
      <x:c r="J29" s="50" t="str"/>
      <x:c r="K29" s="50" t="str"/>
      <x:c r="L29" s="44" t="str"/>
    </x:row>
    <x:row r="30" ht="42" customHeight="1">
      <x:c r="A30" s="30" t="str">
        <x:v>BUG-027</x:v>
      </x:c>
      <x:c r="B30" s="44" t="str"/>
      <x:c r="C30" s="44" t="str"/>
      <x:c r="D30" s="44" t="str"/>
      <x:c r="E30" s="44" t="str"/>
      <x:c r="F30" s="44" t="str"/>
      <x:c r="G30" s="44" t="str"/>
      <x:c r="H30" s="44" t="str"/>
      <x:c r="I30" s="44" t="str"/>
      <x:c r="J30" s="50" t="str"/>
      <x:c r="K30" s="50" t="str"/>
      <x:c r="L30" s="44" t="str"/>
    </x:row>
    <x:row r="31" ht="42" customHeight="1">
      <x:c r="A31" s="30" t="str">
        <x:v>BUG-028</x:v>
      </x:c>
      <x:c r="B31" s="44" t="str"/>
      <x:c r="C31" s="44" t="str"/>
      <x:c r="D31" s="44" t="str"/>
      <x:c r="E31" s="44" t="str"/>
      <x:c r="F31" s="44" t="str"/>
      <x:c r="G31" s="44" t="str"/>
      <x:c r="H31" s="44" t="str"/>
      <x:c r="I31" s="44" t="str"/>
      <x:c r="J31" s="50" t="str"/>
      <x:c r="K31" s="50" t="str"/>
      <x:c r="L31" s="44" t="str"/>
    </x:row>
    <x:row r="32" ht="42" customHeight="1">
      <x:c r="A32" s="30" t="str">
        <x:v>BUG-029</x:v>
      </x:c>
      <x:c r="B32" s="44" t="str"/>
      <x:c r="C32" s="44" t="str"/>
      <x:c r="D32" s="44" t="str"/>
      <x:c r="E32" s="44" t="str"/>
      <x:c r="F32" s="44" t="str"/>
      <x:c r="G32" s="44" t="str"/>
      <x:c r="H32" s="44" t="str"/>
      <x:c r="I32" s="44" t="str"/>
      <x:c r="J32" s="50" t="str"/>
      <x:c r="K32" s="50" t="str"/>
      <x:c r="L32" s="44" t="str"/>
    </x:row>
    <x:row r="33" ht="42" customHeight="1">
      <x:c r="A33" s="30" t="str">
        <x:v>BUG-030</x:v>
      </x:c>
      <x:c r="B33" s="44" t="str"/>
      <x:c r="C33" s="44" t="str"/>
      <x:c r="D33" s="44" t="str"/>
      <x:c r="E33" s="44" t="str"/>
      <x:c r="F33" s="44" t="str"/>
      <x:c r="G33" s="44" t="str"/>
      <x:c r="H33" s="44" t="str"/>
      <x:c r="I33" s="44" t="str"/>
      <x:c r="J33" s="50" t="str"/>
      <x:c r="K33" s="50" t="str"/>
      <x:c r="L33" s="44" t="str"/>
    </x:row>
    <x:row r="34" ht="42" customHeight="1">
      <x:c r="A34" s="30" t="str">
        <x:v>BUG-031</x:v>
      </x:c>
      <x:c r="B34" s="44" t="str"/>
      <x:c r="C34" s="44" t="str"/>
      <x:c r="D34" s="44" t="str"/>
      <x:c r="E34" s="44" t="str"/>
      <x:c r="F34" s="44" t="str"/>
      <x:c r="G34" s="44" t="str"/>
      <x:c r="H34" s="44" t="str"/>
      <x:c r="I34" s="44" t="str"/>
      <x:c r="J34" s="50" t="str"/>
      <x:c r="K34" s="50" t="str"/>
      <x:c r="L34" s="44" t="str"/>
    </x:row>
    <x:row r="35" ht="42" customHeight="1">
      <x:c r="A35" s="30" t="str">
        <x:v>BUG-032</x:v>
      </x:c>
      <x:c r="B35" s="44" t="str"/>
      <x:c r="C35" s="44" t="str"/>
      <x:c r="D35" s="44" t="str"/>
      <x:c r="E35" s="44" t="str"/>
      <x:c r="F35" s="44" t="str"/>
      <x:c r="G35" s="44" t="str"/>
      <x:c r="H35" s="44" t="str"/>
      <x:c r="I35" s="44" t="str"/>
      <x:c r="J35" s="50" t="str"/>
      <x:c r="K35" s="50" t="str"/>
      <x:c r="L35" s="44" t="str"/>
    </x:row>
    <x:row r="36" ht="42" customHeight="1">
      <x:c r="A36" s="30" t="str">
        <x:v>BUG-033</x:v>
      </x:c>
      <x:c r="B36" s="44" t="str"/>
      <x:c r="C36" s="44" t="str"/>
      <x:c r="D36" s="44" t="str"/>
      <x:c r="E36" s="44" t="str"/>
      <x:c r="F36" s="44" t="str"/>
      <x:c r="G36" s="44" t="str"/>
      <x:c r="H36" s="44" t="str"/>
      <x:c r="I36" s="44" t="str"/>
      <x:c r="J36" s="50" t="str"/>
      <x:c r="K36" s="50" t="str"/>
      <x:c r="L36" s="44" t="str"/>
    </x:row>
    <x:row r="37" ht="42" customHeight="1">
      <x:c r="A37" s="30" t="str">
        <x:v>BUG-034</x:v>
      </x:c>
      <x:c r="B37" s="44" t="str"/>
      <x:c r="C37" s="44" t="str"/>
      <x:c r="D37" s="44" t="str"/>
      <x:c r="E37" s="44" t="str"/>
      <x:c r="F37" s="44" t="str"/>
      <x:c r="G37" s="44" t="str"/>
      <x:c r="H37" s="44" t="str"/>
      <x:c r="I37" s="44" t="str"/>
      <x:c r="J37" s="50" t="str"/>
      <x:c r="K37" s="50" t="str"/>
      <x:c r="L37" s="44" t="str"/>
    </x:row>
    <x:row r="38" ht="42" customHeight="1">
      <x:c r="A38" s="30" t="str">
        <x:v>BUG-035</x:v>
      </x:c>
      <x:c r="B38" s="44" t="str"/>
      <x:c r="C38" s="44" t="str"/>
      <x:c r="D38" s="44" t="str"/>
      <x:c r="E38" s="44" t="str"/>
      <x:c r="F38" s="44" t="str"/>
      <x:c r="G38" s="44" t="str"/>
      <x:c r="H38" s="44" t="str"/>
      <x:c r="I38" s="44" t="str"/>
      <x:c r="J38" s="50" t="str"/>
      <x:c r="K38" s="50" t="str"/>
      <x:c r="L38" s="44" t="str"/>
    </x:row>
    <x:row r="39" ht="42" customHeight="1">
      <x:c r="A39" s="30" t="str">
        <x:v>BUG-036</x:v>
      </x:c>
      <x:c r="B39" s="44" t="str"/>
      <x:c r="C39" s="44" t="str"/>
      <x:c r="D39" s="44" t="str"/>
      <x:c r="E39" s="44" t="str"/>
      <x:c r="F39" s="44" t="str"/>
      <x:c r="G39" s="44" t="str"/>
      <x:c r="H39" s="44" t="str"/>
      <x:c r="I39" s="44" t="str"/>
      <x:c r="J39" s="50" t="str"/>
      <x:c r="K39" s="50" t="str"/>
      <x:c r="L39" s="44" t="str"/>
    </x:row>
    <x:row r="40" ht="42" customHeight="1">
      <x:c r="A40" s="30" t="str">
        <x:v>BUG-037</x:v>
      </x:c>
      <x:c r="B40" s="44" t="str"/>
      <x:c r="C40" s="44" t="str"/>
      <x:c r="D40" s="44" t="str"/>
      <x:c r="E40" s="44" t="str"/>
      <x:c r="F40" s="44" t="str"/>
      <x:c r="G40" s="44" t="str"/>
      <x:c r="H40" s="44" t="str"/>
      <x:c r="I40" s="44" t="str"/>
      <x:c r="J40" s="50" t="str"/>
      <x:c r="K40" s="50" t="str"/>
      <x:c r="L40" s="44" t="str"/>
    </x:row>
    <x:row r="41" ht="42" customHeight="1">
      <x:c r="A41" s="30" t="str">
        <x:v>BUG-038</x:v>
      </x:c>
      <x:c r="B41" s="44" t="str"/>
      <x:c r="C41" s="44" t="str"/>
      <x:c r="D41" s="44" t="str"/>
      <x:c r="E41" s="44" t="str"/>
      <x:c r="F41" s="44" t="str"/>
      <x:c r="G41" s="44" t="str"/>
      <x:c r="H41" s="44" t="str"/>
      <x:c r="I41" s="44" t="str"/>
      <x:c r="J41" s="50" t="str"/>
      <x:c r="K41" s="50" t="str"/>
      <x:c r="L41" s="44" t="str"/>
    </x:row>
    <x:row r="42" ht="42" customHeight="1">
      <x:c r="A42" s="30" t="str">
        <x:v>BUG-039</x:v>
      </x:c>
      <x:c r="B42" s="44" t="str"/>
      <x:c r="C42" s="44" t="str"/>
      <x:c r="D42" s="44" t="str"/>
      <x:c r="E42" s="44" t="str"/>
      <x:c r="F42" s="44" t="str"/>
      <x:c r="G42" s="44" t="str"/>
      <x:c r="H42" s="44" t="str"/>
      <x:c r="I42" s="44" t="str"/>
      <x:c r="J42" s="50" t="str"/>
      <x:c r="K42" s="50" t="str"/>
      <x:c r="L42" s="44" t="str"/>
    </x:row>
    <x:row r="43" ht="42" customHeight="1">
      <x:c r="A43" s="30" t="str">
        <x:v>BUG-040</x:v>
      </x:c>
      <x:c r="B43" s="44" t="str"/>
      <x:c r="C43" s="44" t="str"/>
      <x:c r="D43" s="44" t="str"/>
      <x:c r="E43" s="44" t="str"/>
      <x:c r="F43" s="44" t="str"/>
      <x:c r="G43" s="44" t="str"/>
      <x:c r="H43" s="44" t="str"/>
      <x:c r="I43" s="44" t="str"/>
      <x:c r="J43" s="50" t="str"/>
      <x:c r="K43" s="50" t="str"/>
      <x:c r="L43" s="44" t="str"/>
    </x:row>
    <x:row r="44" ht="42" customHeight="1">
      <x:c r="A44" s="30" t="str">
        <x:v>BUG-041</x:v>
      </x:c>
      <x:c r="B44" s="44" t="str"/>
      <x:c r="C44" s="44" t="str"/>
      <x:c r="D44" s="44" t="str"/>
      <x:c r="E44" s="44" t="str"/>
      <x:c r="F44" s="44" t="str"/>
      <x:c r="G44" s="44" t="str"/>
      <x:c r="H44" s="44" t="str"/>
      <x:c r="I44" s="44" t="str"/>
      <x:c r="J44" s="50" t="str"/>
      <x:c r="K44" s="50" t="str"/>
      <x:c r="L44" s="44" t="str"/>
    </x:row>
    <x:row r="45" ht="42" customHeight="1">
      <x:c r="A45" s="30" t="str">
        <x:v>BUG-042</x:v>
      </x:c>
      <x:c r="B45" s="44" t="str"/>
      <x:c r="C45" s="44" t="str"/>
      <x:c r="D45" s="44" t="str"/>
      <x:c r="E45" s="44" t="str"/>
      <x:c r="F45" s="44" t="str"/>
      <x:c r="G45" s="44" t="str"/>
      <x:c r="H45" s="44" t="str"/>
      <x:c r="I45" s="44" t="str"/>
      <x:c r="J45" s="50" t="str"/>
      <x:c r="K45" s="50" t="str"/>
      <x:c r="L45" s="44" t="str"/>
    </x:row>
    <x:row r="46" ht="42" customHeight="1">
      <x:c r="A46" s="30" t="str">
        <x:v>BUG-043</x:v>
      </x:c>
      <x:c r="B46" s="44" t="str"/>
      <x:c r="C46" s="44" t="str"/>
      <x:c r="D46" s="44" t="str"/>
      <x:c r="E46" s="44" t="str"/>
      <x:c r="F46" s="44" t="str"/>
      <x:c r="G46" s="44" t="str"/>
      <x:c r="H46" s="44" t="str"/>
      <x:c r="I46" s="44" t="str"/>
      <x:c r="J46" s="50" t="str"/>
      <x:c r="K46" s="50" t="str"/>
      <x:c r="L46" s="44" t="str"/>
    </x:row>
    <x:row r="47" ht="42" customHeight="1">
      <x:c r="A47" s="30" t="str">
        <x:v>BUG-044</x:v>
      </x:c>
      <x:c r="B47" s="44" t="str"/>
      <x:c r="C47" s="44" t="str"/>
      <x:c r="D47" s="44" t="str"/>
      <x:c r="E47" s="44" t="str"/>
      <x:c r="F47" s="44" t="str"/>
      <x:c r="G47" s="44" t="str"/>
      <x:c r="H47" s="44" t="str"/>
      <x:c r="I47" s="44" t="str"/>
      <x:c r="J47" s="50" t="str"/>
      <x:c r="K47" s="50" t="str"/>
      <x:c r="L47" s="44" t="str"/>
    </x:row>
    <x:row r="48" ht="42" customHeight="1">
      <x:c r="A48" s="30" t="str">
        <x:v>BUG-045</x:v>
      </x:c>
      <x:c r="B48" s="44" t="str"/>
      <x:c r="C48" s="44" t="str"/>
      <x:c r="D48" s="44" t="str"/>
      <x:c r="E48" s="44" t="str"/>
      <x:c r="F48" s="44" t="str"/>
      <x:c r="G48" s="44" t="str"/>
      <x:c r="H48" s="44" t="str"/>
      <x:c r="I48" s="44" t="str"/>
      <x:c r="J48" s="50" t="str"/>
      <x:c r="K48" s="50" t="str"/>
      <x:c r="L48" s="44" t="str"/>
    </x:row>
    <x:row r="49" ht="42" customHeight="1">
      <x:c r="A49" s="30" t="str">
        <x:v>BUG-046</x:v>
      </x:c>
      <x:c r="B49" s="44" t="str"/>
      <x:c r="C49" s="44" t="str"/>
      <x:c r="D49" s="44" t="str"/>
      <x:c r="E49" s="44" t="str"/>
      <x:c r="F49" s="44" t="str"/>
      <x:c r="G49" s="44" t="str"/>
      <x:c r="H49" s="44" t="str"/>
      <x:c r="I49" s="44" t="str"/>
      <x:c r="J49" s="50" t="str"/>
      <x:c r="K49" s="50" t="str"/>
      <x:c r="L49" s="44" t="str"/>
    </x:row>
    <x:row r="50" ht="42" customHeight="1">
      <x:c r="A50" s="30" t="str">
        <x:v>BUG-047</x:v>
      </x:c>
      <x:c r="B50" s="44" t="str"/>
      <x:c r="C50" s="44" t="str"/>
      <x:c r="D50" s="44" t="str"/>
      <x:c r="E50" s="44" t="str"/>
      <x:c r="F50" s="44" t="str"/>
      <x:c r="G50" s="44" t="str"/>
      <x:c r="H50" s="44" t="str"/>
      <x:c r="I50" s="44" t="str"/>
      <x:c r="J50" s="50" t="str"/>
      <x:c r="K50" s="50" t="str"/>
      <x:c r="L50" s="44" t="str"/>
    </x:row>
    <x:row r="51" ht="42" customHeight="1">
      <x:c r="A51" s="30" t="str">
        <x:v>BUG-048</x:v>
      </x:c>
      <x:c r="B51" s="44" t="str"/>
      <x:c r="C51" s="44" t="str"/>
      <x:c r="D51" s="44" t="str"/>
      <x:c r="E51" s="44" t="str"/>
      <x:c r="F51" s="44" t="str"/>
      <x:c r="G51" s="44" t="str"/>
      <x:c r="H51" s="44" t="str"/>
      <x:c r="I51" s="44" t="str"/>
      <x:c r="J51" s="50" t="str"/>
      <x:c r="K51" s="50" t="str"/>
      <x:c r="L51" s="44" t="str"/>
    </x:row>
    <x:row r="52" ht="42" customHeight="1">
      <x:c r="A52" s="30" t="str">
        <x:v>BUG-049</x:v>
      </x:c>
      <x:c r="B52" s="44" t="str"/>
      <x:c r="C52" s="44" t="str"/>
      <x:c r="D52" s="44" t="str"/>
      <x:c r="E52" s="44" t="str"/>
      <x:c r="F52" s="44" t="str"/>
      <x:c r="G52" s="44" t="str"/>
      <x:c r="H52" s="44" t="str"/>
      <x:c r="I52" s="44" t="str"/>
      <x:c r="J52" s="50" t="str"/>
      <x:c r="K52" s="50" t="str"/>
      <x:c r="L52" s="44" t="str"/>
    </x:row>
    <x:row r="53" ht="42" customHeight="1">
      <x:c r="A53" s="30" t="str">
        <x:v>BUG-050</x:v>
      </x:c>
      <x:c r="B53" s="44" t="str"/>
      <x:c r="C53" s="44" t="str"/>
      <x:c r="D53" s="44" t="str"/>
      <x:c r="E53" s="44" t="str"/>
      <x:c r="F53" s="44" t="str"/>
      <x:c r="G53" s="44" t="str"/>
      <x:c r="H53" s="44" t="str"/>
      <x:c r="I53" s="44" t="str"/>
      <x:c r="J53" s="50" t="str"/>
      <x:c r="K53" s="50" t="str"/>
      <x:c r="L53" s="44" t="str"/>
    </x:row>
  </x:sheetData>
  <x:mergeCells>
    <x:mergeCell ref="A1:L1"/>
    <x:mergeCell ref="A2:L2"/>
  </x:mergeCells>
  <x:conditionalFormatting sqref="G4:G53">
    <x:cfRule type="expression" dxfId="4" priority="1">
      <x:formula>G4="Open"</x:formula>
    </x:cfRule>
    <x:cfRule type="expression" dxfId="5" priority="2">
      <x:formula>G4="Fixed"</x:formula>
    </x:cfRule>
    <x:cfRule type="expression" dxfId="6" priority="3">
      <x:formula>G4="Closed"</x:formula>
    </x:cfRule>
  </x:conditionalFormatting>
  <x:conditionalFormatting sqref="C4:C53">
    <x:cfRule type="expression" dxfId="7" priority="4">
      <x:formula>C4="치명"</x:formula>
    </x:cfRule>
    <x:cfRule type="expression" dxfId="8" priority="5">
      <x:formula>C4="높음"</x:formula>
    </x:cfRule>
  </x:conditionalFormatting>
  <x:dataValidations count="2">
    <x:dataValidation type="list" sqref="C4:C53">
      <x:formula1>"치명,높음,보통,낮음"</x:formula1>
    </x:dataValidation>
    <x:dataValidation type="list" sqref="G4:G53">
      <x:formula1>"Open,Fixed,Closed,Deferred"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2cc6c4d29348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4" hidden="0" customWidth="1"/>
    <x:col min="5" max="5" width="44" hidden="0" customWidth="1"/>
    <x:col min="6" max="6" width="15" hidden="0" customWidth="1"/>
    <x:col min="7" max="7" width="14" hidden="0" customWidth="1"/>
    <x:col min="8" max="8" width="13" hidden="0" customWidth="1"/>
    <x:col min="9" max="9" width="30" hidden="0" customWidth="1"/>
  </x:cols>
  <x:sheetData>
    <x:row r="1" ht="34" customHeight="1">
      <x:c r="A1" s="5" t="str">
        <x:v>5. 재테스트 (수정 확인)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Fixed 상태의 버그만 수정 커밋에서 다시 실행하고, Pass 확인 후 결함 상태를 Closed로 변경하세요.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22" t="str">
        <x:v>재테스트 ID</x:v>
      </x:c>
      <x:c r="B3" s="22" t="str">
        <x:v>BUG-ID</x:v>
      </x:c>
      <x:c r="C3" s="22" t="str">
        <x:v>재테스트 TC</x:v>
      </x:c>
      <x:c r="D3" s="22" t="str">
        <x:v>수정 버전/커밋</x:v>
      </x:c>
      <x:c r="E3" s="22" t="str">
        <x:v>재테스트 절차</x:v>
      </x:c>
      <x:c r="F3" s="22" t="str">
        <x:v>재테스트 결과</x:v>
      </x:c>
      <x:c r="G3" s="22" t="str">
        <x:v>확인자</x:v>
      </x:c>
      <x:c r="H3" s="22" t="str">
        <x:v>확인일</x:v>
      </x:c>
      <x:c r="I3" s="22" t="str">
        <x:v>비고</x:v>
      </x:c>
    </x:row>
    <x:row r="4" ht="38" customHeight="1">
      <x:c r="A4" s="30" t="str">
        <x:v>RT-001</x:v>
      </x:c>
      <x:c r="B4" s="44" t="str"/>
      <x:c r="C4" s="44" t="str"/>
      <x:c r="D4" s="44" t="str"/>
      <x:c r="E4" s="44" t="str"/>
      <x:c r="F4" s="44" t="str"/>
      <x:c r="G4" s="44" t="str"/>
      <x:c r="H4" s="50" t="str"/>
      <x:c r="I4" s="44" t="str"/>
    </x:row>
    <x:row r="5" ht="38" customHeight="1">
      <x:c r="A5" s="30" t="str">
        <x:v>RT-002</x:v>
      </x:c>
      <x:c r="B5" s="44" t="str"/>
      <x:c r="C5" s="44" t="str"/>
      <x:c r="D5" s="44" t="str"/>
      <x:c r="E5" s="44" t="str"/>
      <x:c r="F5" s="44" t="str"/>
      <x:c r="G5" s="44" t="str"/>
      <x:c r="H5" s="50" t="str"/>
      <x:c r="I5" s="44" t="str"/>
    </x:row>
    <x:row r="6" ht="38" customHeight="1">
      <x:c r="A6" s="30" t="str">
        <x:v>RT-003</x:v>
      </x:c>
      <x:c r="B6" s="44" t="str"/>
      <x:c r="C6" s="44" t="str"/>
      <x:c r="D6" s="44" t="str"/>
      <x:c r="E6" s="44" t="str"/>
      <x:c r="F6" s="44" t="str"/>
      <x:c r="G6" s="44" t="str"/>
      <x:c r="H6" s="50" t="str"/>
      <x:c r="I6" s="44" t="str"/>
    </x:row>
    <x:row r="7" ht="38" customHeight="1">
      <x:c r="A7" s="30" t="str">
        <x:v>RT-004</x:v>
      </x:c>
      <x:c r="B7" s="44" t="str"/>
      <x:c r="C7" s="44" t="str"/>
      <x:c r="D7" s="44" t="str"/>
      <x:c r="E7" s="44" t="str"/>
      <x:c r="F7" s="44" t="str"/>
      <x:c r="G7" s="44" t="str"/>
      <x:c r="H7" s="50" t="str"/>
      <x:c r="I7" s="44" t="str"/>
    </x:row>
    <x:row r="8" ht="38" customHeight="1">
      <x:c r="A8" s="30" t="str">
        <x:v>RT-005</x:v>
      </x:c>
      <x:c r="B8" s="44" t="str"/>
      <x:c r="C8" s="44" t="str"/>
      <x:c r="D8" s="44" t="str"/>
      <x:c r="E8" s="44" t="str"/>
      <x:c r="F8" s="44" t="str"/>
      <x:c r="G8" s="44" t="str"/>
      <x:c r="H8" s="50" t="str"/>
      <x:c r="I8" s="44" t="str"/>
    </x:row>
    <x:row r="9" ht="38" customHeight="1">
      <x:c r="A9" s="30" t="str">
        <x:v>RT-006</x:v>
      </x:c>
      <x:c r="B9" s="44" t="str"/>
      <x:c r="C9" s="44" t="str"/>
      <x:c r="D9" s="44" t="str"/>
      <x:c r="E9" s="44" t="str"/>
      <x:c r="F9" s="44" t="str"/>
      <x:c r="G9" s="44" t="str"/>
      <x:c r="H9" s="50" t="str"/>
      <x:c r="I9" s="44" t="str"/>
    </x:row>
    <x:row r="10" ht="38" customHeight="1">
      <x:c r="A10" s="30" t="str">
        <x:v>RT-007</x:v>
      </x:c>
      <x:c r="B10" s="44" t="str"/>
      <x:c r="C10" s="44" t="str"/>
      <x:c r="D10" s="44" t="str"/>
      <x:c r="E10" s="44" t="str"/>
      <x:c r="F10" s="44" t="str"/>
      <x:c r="G10" s="44" t="str"/>
      <x:c r="H10" s="50" t="str"/>
      <x:c r="I10" s="44" t="str"/>
    </x:row>
    <x:row r="11" ht="38" customHeight="1">
      <x:c r="A11" s="30" t="str">
        <x:v>RT-008</x:v>
      </x:c>
      <x:c r="B11" s="44" t="str"/>
      <x:c r="C11" s="44" t="str"/>
      <x:c r="D11" s="44" t="str"/>
      <x:c r="E11" s="44" t="str"/>
      <x:c r="F11" s="44" t="str"/>
      <x:c r="G11" s="44" t="str"/>
      <x:c r="H11" s="50" t="str"/>
      <x:c r="I11" s="44" t="str"/>
    </x:row>
    <x:row r="12" ht="38" customHeight="1">
      <x:c r="A12" s="30" t="str">
        <x:v>RT-009</x:v>
      </x:c>
      <x:c r="B12" s="44" t="str"/>
      <x:c r="C12" s="44" t="str"/>
      <x:c r="D12" s="44" t="str"/>
      <x:c r="E12" s="44" t="str"/>
      <x:c r="F12" s="44" t="str"/>
      <x:c r="G12" s="44" t="str"/>
      <x:c r="H12" s="50" t="str"/>
      <x:c r="I12" s="44" t="str"/>
    </x:row>
    <x:row r="13" ht="38" customHeight="1">
      <x:c r="A13" s="30" t="str">
        <x:v>RT-010</x:v>
      </x:c>
      <x:c r="B13" s="44" t="str"/>
      <x:c r="C13" s="44" t="str"/>
      <x:c r="D13" s="44" t="str"/>
      <x:c r="E13" s="44" t="str"/>
      <x:c r="F13" s="44" t="str"/>
      <x:c r="G13" s="44" t="str"/>
      <x:c r="H13" s="50" t="str"/>
      <x:c r="I13" s="44" t="str"/>
    </x:row>
    <x:row r="14" ht="38" customHeight="1">
      <x:c r="A14" s="30" t="str">
        <x:v>RT-011</x:v>
      </x:c>
      <x:c r="B14" s="44" t="str"/>
      <x:c r="C14" s="44" t="str"/>
      <x:c r="D14" s="44" t="str"/>
      <x:c r="E14" s="44" t="str"/>
      <x:c r="F14" s="44" t="str"/>
      <x:c r="G14" s="44" t="str"/>
      <x:c r="H14" s="50" t="str"/>
      <x:c r="I14" s="44" t="str"/>
    </x:row>
    <x:row r="15" ht="38" customHeight="1">
      <x:c r="A15" s="30" t="str">
        <x:v>RT-012</x:v>
      </x:c>
      <x:c r="B15" s="44" t="str"/>
      <x:c r="C15" s="44" t="str"/>
      <x:c r="D15" s="44" t="str"/>
      <x:c r="E15" s="44" t="str"/>
      <x:c r="F15" s="44" t="str"/>
      <x:c r="G15" s="44" t="str"/>
      <x:c r="H15" s="50" t="str"/>
      <x:c r="I15" s="44" t="str"/>
    </x:row>
    <x:row r="16" ht="38" customHeight="1">
      <x:c r="A16" s="30" t="str">
        <x:v>RT-013</x:v>
      </x:c>
      <x:c r="B16" s="44" t="str"/>
      <x:c r="C16" s="44" t="str"/>
      <x:c r="D16" s="44" t="str"/>
      <x:c r="E16" s="44" t="str"/>
      <x:c r="F16" s="44" t="str"/>
      <x:c r="G16" s="44" t="str"/>
      <x:c r="H16" s="50" t="str"/>
      <x:c r="I16" s="44" t="str"/>
    </x:row>
    <x:row r="17" ht="38" customHeight="1">
      <x:c r="A17" s="30" t="str">
        <x:v>RT-014</x:v>
      </x:c>
      <x:c r="B17" s="44" t="str"/>
      <x:c r="C17" s="44" t="str"/>
      <x:c r="D17" s="44" t="str"/>
      <x:c r="E17" s="44" t="str"/>
      <x:c r="F17" s="44" t="str"/>
      <x:c r="G17" s="44" t="str"/>
      <x:c r="H17" s="50" t="str"/>
      <x:c r="I17" s="44" t="str"/>
    </x:row>
    <x:row r="18" ht="38" customHeight="1">
      <x:c r="A18" s="30" t="str">
        <x:v>RT-015</x:v>
      </x:c>
      <x:c r="B18" s="44" t="str"/>
      <x:c r="C18" s="44" t="str"/>
      <x:c r="D18" s="44" t="str"/>
      <x:c r="E18" s="44" t="str"/>
      <x:c r="F18" s="44" t="str"/>
      <x:c r="G18" s="44" t="str"/>
      <x:c r="H18" s="50" t="str"/>
      <x:c r="I18" s="44" t="str"/>
    </x:row>
    <x:row r="19" ht="38" customHeight="1">
      <x:c r="A19" s="30" t="str">
        <x:v>RT-016</x:v>
      </x:c>
      <x:c r="B19" s="44" t="str"/>
      <x:c r="C19" s="44" t="str"/>
      <x:c r="D19" s="44" t="str"/>
      <x:c r="E19" s="44" t="str"/>
      <x:c r="F19" s="44" t="str"/>
      <x:c r="G19" s="44" t="str"/>
      <x:c r="H19" s="50" t="str"/>
      <x:c r="I19" s="44" t="str"/>
    </x:row>
    <x:row r="20" ht="38" customHeight="1">
      <x:c r="A20" s="30" t="str">
        <x:v>RT-017</x:v>
      </x:c>
      <x:c r="B20" s="44" t="str"/>
      <x:c r="C20" s="44" t="str"/>
      <x:c r="D20" s="44" t="str"/>
      <x:c r="E20" s="44" t="str"/>
      <x:c r="F20" s="44" t="str"/>
      <x:c r="G20" s="44" t="str"/>
      <x:c r="H20" s="50" t="str"/>
      <x:c r="I20" s="44" t="str"/>
    </x:row>
    <x:row r="21" ht="38" customHeight="1">
      <x:c r="A21" s="30" t="str">
        <x:v>RT-018</x:v>
      </x:c>
      <x:c r="B21" s="44" t="str"/>
      <x:c r="C21" s="44" t="str"/>
      <x:c r="D21" s="44" t="str"/>
      <x:c r="E21" s="44" t="str"/>
      <x:c r="F21" s="44" t="str"/>
      <x:c r="G21" s="44" t="str"/>
      <x:c r="H21" s="50" t="str"/>
      <x:c r="I21" s="44" t="str"/>
    </x:row>
    <x:row r="22" ht="38" customHeight="1">
      <x:c r="A22" s="30" t="str">
        <x:v>RT-019</x:v>
      </x:c>
      <x:c r="B22" s="44" t="str"/>
      <x:c r="C22" s="44" t="str"/>
      <x:c r="D22" s="44" t="str"/>
      <x:c r="E22" s="44" t="str"/>
      <x:c r="F22" s="44" t="str"/>
      <x:c r="G22" s="44" t="str"/>
      <x:c r="H22" s="50" t="str"/>
      <x:c r="I22" s="44" t="str"/>
    </x:row>
    <x:row r="23" ht="38" customHeight="1">
      <x:c r="A23" s="30" t="str">
        <x:v>RT-020</x:v>
      </x:c>
      <x:c r="B23" s="44" t="str"/>
      <x:c r="C23" s="44" t="str"/>
      <x:c r="D23" s="44" t="str"/>
      <x:c r="E23" s="44" t="str"/>
      <x:c r="F23" s="44" t="str"/>
      <x:c r="G23" s="44" t="str"/>
      <x:c r="H23" s="50" t="str"/>
      <x:c r="I23" s="44" t="str"/>
    </x:row>
    <x:row r="24" ht="38" customHeight="1">
      <x:c r="A24" s="30" t="str">
        <x:v>RT-021</x:v>
      </x:c>
      <x:c r="B24" s="44" t="str"/>
      <x:c r="C24" s="44" t="str"/>
      <x:c r="D24" s="44" t="str"/>
      <x:c r="E24" s="44" t="str"/>
      <x:c r="F24" s="44" t="str"/>
      <x:c r="G24" s="44" t="str"/>
      <x:c r="H24" s="50" t="str"/>
      <x:c r="I24" s="44" t="str"/>
    </x:row>
    <x:row r="25" ht="38" customHeight="1">
      <x:c r="A25" s="30" t="str">
        <x:v>RT-022</x:v>
      </x:c>
      <x:c r="B25" s="44" t="str"/>
      <x:c r="C25" s="44" t="str"/>
      <x:c r="D25" s="44" t="str"/>
      <x:c r="E25" s="44" t="str"/>
      <x:c r="F25" s="44" t="str"/>
      <x:c r="G25" s="44" t="str"/>
      <x:c r="H25" s="50" t="str"/>
      <x:c r="I25" s="44" t="str"/>
    </x:row>
    <x:row r="26" ht="38" customHeight="1">
      <x:c r="A26" s="30" t="str">
        <x:v>RT-023</x:v>
      </x:c>
      <x:c r="B26" s="44" t="str"/>
      <x:c r="C26" s="44" t="str"/>
      <x:c r="D26" s="44" t="str"/>
      <x:c r="E26" s="44" t="str"/>
      <x:c r="F26" s="44" t="str"/>
      <x:c r="G26" s="44" t="str"/>
      <x:c r="H26" s="50" t="str"/>
      <x:c r="I26" s="44" t="str"/>
    </x:row>
    <x:row r="27" ht="38" customHeight="1">
      <x:c r="A27" s="30" t="str">
        <x:v>RT-024</x:v>
      </x:c>
      <x:c r="B27" s="44" t="str"/>
      <x:c r="C27" s="44" t="str"/>
      <x:c r="D27" s="44" t="str"/>
      <x:c r="E27" s="44" t="str"/>
      <x:c r="F27" s="44" t="str"/>
      <x:c r="G27" s="44" t="str"/>
      <x:c r="H27" s="50" t="str"/>
      <x:c r="I27" s="44" t="str"/>
    </x:row>
    <x:row r="28" ht="38" customHeight="1">
      <x:c r="A28" s="30" t="str">
        <x:v>RT-025</x:v>
      </x:c>
      <x:c r="B28" s="44" t="str"/>
      <x:c r="C28" s="44" t="str"/>
      <x:c r="D28" s="44" t="str"/>
      <x:c r="E28" s="44" t="str"/>
      <x:c r="F28" s="44" t="str"/>
      <x:c r="G28" s="44" t="str"/>
      <x:c r="H28" s="50" t="str"/>
      <x:c r="I28" s="44" t="str"/>
    </x:row>
    <x:row r="29" ht="38" customHeight="1">
      <x:c r="A29" s="30" t="str">
        <x:v>RT-026</x:v>
      </x:c>
      <x:c r="B29" s="44" t="str"/>
      <x:c r="C29" s="44" t="str"/>
      <x:c r="D29" s="44" t="str"/>
      <x:c r="E29" s="44" t="str"/>
      <x:c r="F29" s="44" t="str"/>
      <x:c r="G29" s="44" t="str"/>
      <x:c r="H29" s="50" t="str"/>
      <x:c r="I29" s="44" t="str"/>
    </x:row>
    <x:row r="30" ht="38" customHeight="1">
      <x:c r="A30" s="30" t="str">
        <x:v>RT-027</x:v>
      </x:c>
      <x:c r="B30" s="44" t="str"/>
      <x:c r="C30" s="44" t="str"/>
      <x:c r="D30" s="44" t="str"/>
      <x:c r="E30" s="44" t="str"/>
      <x:c r="F30" s="44" t="str"/>
      <x:c r="G30" s="44" t="str"/>
      <x:c r="H30" s="50" t="str"/>
      <x:c r="I30" s="44" t="str"/>
    </x:row>
    <x:row r="31" ht="38" customHeight="1">
      <x:c r="A31" s="30" t="str">
        <x:v>RT-028</x:v>
      </x:c>
      <x:c r="B31" s="44" t="str"/>
      <x:c r="C31" s="44" t="str"/>
      <x:c r="D31" s="44" t="str"/>
      <x:c r="E31" s="44" t="str"/>
      <x:c r="F31" s="44" t="str"/>
      <x:c r="G31" s="44" t="str"/>
      <x:c r="H31" s="50" t="str"/>
      <x:c r="I31" s="44" t="str"/>
    </x:row>
    <x:row r="32" ht="38" customHeight="1">
      <x:c r="A32" s="30" t="str">
        <x:v>RT-029</x:v>
      </x:c>
      <x:c r="B32" s="44" t="str"/>
      <x:c r="C32" s="44" t="str"/>
      <x:c r="D32" s="44" t="str"/>
      <x:c r="E32" s="44" t="str"/>
      <x:c r="F32" s="44" t="str"/>
      <x:c r="G32" s="44" t="str"/>
      <x:c r="H32" s="50" t="str"/>
      <x:c r="I32" s="44" t="str"/>
    </x:row>
    <x:row r="33" ht="38" customHeight="1">
      <x:c r="A33" s="30" t="str">
        <x:v>RT-030</x:v>
      </x:c>
      <x:c r="B33" s="44" t="str"/>
      <x:c r="C33" s="44" t="str"/>
      <x:c r="D33" s="44" t="str"/>
      <x:c r="E33" s="44" t="str"/>
      <x:c r="F33" s="44" t="str"/>
      <x:c r="G33" s="44" t="str"/>
      <x:c r="H33" s="50" t="str"/>
      <x:c r="I33" s="44" t="str"/>
    </x:row>
    <x:row r="34" ht="38" customHeight="1">
      <x:c r="A34" s="30" t="str">
        <x:v>RT-031</x:v>
      </x:c>
      <x:c r="B34" s="44" t="str"/>
      <x:c r="C34" s="44" t="str"/>
      <x:c r="D34" s="44" t="str"/>
      <x:c r="E34" s="44" t="str"/>
      <x:c r="F34" s="44" t="str"/>
      <x:c r="G34" s="44" t="str"/>
      <x:c r="H34" s="50" t="str"/>
      <x:c r="I34" s="44" t="str"/>
    </x:row>
    <x:row r="35" ht="38" customHeight="1">
      <x:c r="A35" s="30" t="str">
        <x:v>RT-032</x:v>
      </x:c>
      <x:c r="B35" s="44" t="str"/>
      <x:c r="C35" s="44" t="str"/>
      <x:c r="D35" s="44" t="str"/>
      <x:c r="E35" s="44" t="str"/>
      <x:c r="F35" s="44" t="str"/>
      <x:c r="G35" s="44" t="str"/>
      <x:c r="H35" s="50" t="str"/>
      <x:c r="I35" s="44" t="str"/>
    </x:row>
    <x:row r="36" ht="38" customHeight="1">
      <x:c r="A36" s="30" t="str">
        <x:v>RT-033</x:v>
      </x:c>
      <x:c r="B36" s="44" t="str"/>
      <x:c r="C36" s="44" t="str"/>
      <x:c r="D36" s="44" t="str"/>
      <x:c r="E36" s="44" t="str"/>
      <x:c r="F36" s="44" t="str"/>
      <x:c r="G36" s="44" t="str"/>
      <x:c r="H36" s="50" t="str"/>
      <x:c r="I36" s="44" t="str"/>
    </x:row>
    <x:row r="37" ht="38" customHeight="1">
      <x:c r="A37" s="30" t="str">
        <x:v>RT-034</x:v>
      </x:c>
      <x:c r="B37" s="44" t="str"/>
      <x:c r="C37" s="44" t="str"/>
      <x:c r="D37" s="44" t="str"/>
      <x:c r="E37" s="44" t="str"/>
      <x:c r="F37" s="44" t="str"/>
      <x:c r="G37" s="44" t="str"/>
      <x:c r="H37" s="50" t="str"/>
      <x:c r="I37" s="44" t="str"/>
    </x:row>
    <x:row r="38" ht="38" customHeight="1">
      <x:c r="A38" s="30" t="str">
        <x:v>RT-035</x:v>
      </x:c>
      <x:c r="B38" s="44" t="str"/>
      <x:c r="C38" s="44" t="str"/>
      <x:c r="D38" s="44" t="str"/>
      <x:c r="E38" s="44" t="str"/>
      <x:c r="F38" s="44" t="str"/>
      <x:c r="G38" s="44" t="str"/>
      <x:c r="H38" s="50" t="str"/>
      <x:c r="I38" s="44" t="str"/>
    </x:row>
    <x:row r="39" ht="38" customHeight="1">
      <x:c r="A39" s="30" t="str">
        <x:v>RT-036</x:v>
      </x:c>
      <x:c r="B39" s="44" t="str"/>
      <x:c r="C39" s="44" t="str"/>
      <x:c r="D39" s="44" t="str"/>
      <x:c r="E39" s="44" t="str"/>
      <x:c r="F39" s="44" t="str"/>
      <x:c r="G39" s="44" t="str"/>
      <x:c r="H39" s="50" t="str"/>
      <x:c r="I39" s="44" t="str"/>
    </x:row>
    <x:row r="40" ht="38" customHeight="1">
      <x:c r="A40" s="30" t="str">
        <x:v>RT-037</x:v>
      </x:c>
      <x:c r="B40" s="44" t="str"/>
      <x:c r="C40" s="44" t="str"/>
      <x:c r="D40" s="44" t="str"/>
      <x:c r="E40" s="44" t="str"/>
      <x:c r="F40" s="44" t="str"/>
      <x:c r="G40" s="44" t="str"/>
      <x:c r="H40" s="50" t="str"/>
      <x:c r="I40" s="44" t="str"/>
    </x:row>
    <x:row r="41" ht="38" customHeight="1">
      <x:c r="A41" s="30" t="str">
        <x:v>RT-038</x:v>
      </x:c>
      <x:c r="B41" s="44" t="str"/>
      <x:c r="C41" s="44" t="str"/>
      <x:c r="D41" s="44" t="str"/>
      <x:c r="E41" s="44" t="str"/>
      <x:c r="F41" s="44" t="str"/>
      <x:c r="G41" s="44" t="str"/>
      <x:c r="H41" s="50" t="str"/>
      <x:c r="I41" s="44" t="str"/>
    </x:row>
    <x:row r="42" ht="38" customHeight="1">
      <x:c r="A42" s="30" t="str">
        <x:v>RT-039</x:v>
      </x:c>
      <x:c r="B42" s="44" t="str"/>
      <x:c r="C42" s="44" t="str"/>
      <x:c r="D42" s="44" t="str"/>
      <x:c r="E42" s="44" t="str"/>
      <x:c r="F42" s="44" t="str"/>
      <x:c r="G42" s="44" t="str"/>
      <x:c r="H42" s="50" t="str"/>
      <x:c r="I42" s="44" t="str"/>
    </x:row>
    <x:row r="43" ht="38" customHeight="1">
      <x:c r="A43" s="30" t="str">
        <x:v>RT-040</x:v>
      </x:c>
      <x:c r="B43" s="44" t="str"/>
      <x:c r="C43" s="44" t="str"/>
      <x:c r="D43" s="44" t="str"/>
      <x:c r="E43" s="44" t="str"/>
      <x:c r="F43" s="44" t="str"/>
      <x:c r="G43" s="44" t="str"/>
      <x:c r="H43" s="50" t="str"/>
      <x:c r="I43" s="44" t="str"/>
    </x:row>
    <x:row r="44" ht="38" customHeight="1">
      <x:c r="A44" s="30" t="str">
        <x:v>RT-041</x:v>
      </x:c>
      <x:c r="B44" s="44" t="str"/>
      <x:c r="C44" s="44" t="str"/>
      <x:c r="D44" s="44" t="str"/>
      <x:c r="E44" s="44" t="str"/>
      <x:c r="F44" s="44" t="str"/>
      <x:c r="G44" s="44" t="str"/>
      <x:c r="H44" s="50" t="str"/>
      <x:c r="I44" s="44" t="str"/>
    </x:row>
    <x:row r="45" ht="38" customHeight="1">
      <x:c r="A45" s="30" t="str">
        <x:v>RT-042</x:v>
      </x:c>
      <x:c r="B45" s="44" t="str"/>
      <x:c r="C45" s="44" t="str"/>
      <x:c r="D45" s="44" t="str"/>
      <x:c r="E45" s="44" t="str"/>
      <x:c r="F45" s="44" t="str"/>
      <x:c r="G45" s="44" t="str"/>
      <x:c r="H45" s="50" t="str"/>
      <x:c r="I45" s="44" t="str"/>
    </x:row>
    <x:row r="46" ht="38" customHeight="1">
      <x:c r="A46" s="30" t="str">
        <x:v>RT-043</x:v>
      </x:c>
      <x:c r="B46" s="44" t="str"/>
      <x:c r="C46" s="44" t="str"/>
      <x:c r="D46" s="44" t="str"/>
      <x:c r="E46" s="44" t="str"/>
      <x:c r="F46" s="44" t="str"/>
      <x:c r="G46" s="44" t="str"/>
      <x:c r="H46" s="50" t="str"/>
      <x:c r="I46" s="44" t="str"/>
    </x:row>
    <x:row r="47" ht="38" customHeight="1">
      <x:c r="A47" s="30" t="str">
        <x:v>RT-044</x:v>
      </x:c>
      <x:c r="B47" s="44" t="str"/>
      <x:c r="C47" s="44" t="str"/>
      <x:c r="D47" s="44" t="str"/>
      <x:c r="E47" s="44" t="str"/>
      <x:c r="F47" s="44" t="str"/>
      <x:c r="G47" s="44" t="str"/>
      <x:c r="H47" s="50" t="str"/>
      <x:c r="I47" s="44" t="str"/>
    </x:row>
    <x:row r="48" ht="38" customHeight="1">
      <x:c r="A48" s="30" t="str">
        <x:v>RT-045</x:v>
      </x:c>
      <x:c r="B48" s="44" t="str"/>
      <x:c r="C48" s="44" t="str"/>
      <x:c r="D48" s="44" t="str"/>
      <x:c r="E48" s="44" t="str"/>
      <x:c r="F48" s="44" t="str"/>
      <x:c r="G48" s="44" t="str"/>
      <x:c r="H48" s="50" t="str"/>
      <x:c r="I48" s="44" t="str"/>
    </x:row>
    <x:row r="49" ht="38" customHeight="1">
      <x:c r="A49" s="30" t="str">
        <x:v>RT-046</x:v>
      </x:c>
      <x:c r="B49" s="44" t="str"/>
      <x:c r="C49" s="44" t="str"/>
      <x:c r="D49" s="44" t="str"/>
      <x:c r="E49" s="44" t="str"/>
      <x:c r="F49" s="44" t="str"/>
      <x:c r="G49" s="44" t="str"/>
      <x:c r="H49" s="50" t="str"/>
      <x:c r="I49" s="44" t="str"/>
    </x:row>
    <x:row r="50" ht="38" customHeight="1">
      <x:c r="A50" s="30" t="str">
        <x:v>RT-047</x:v>
      </x:c>
      <x:c r="B50" s="44" t="str"/>
      <x:c r="C50" s="44" t="str"/>
      <x:c r="D50" s="44" t="str"/>
      <x:c r="E50" s="44" t="str"/>
      <x:c r="F50" s="44" t="str"/>
      <x:c r="G50" s="44" t="str"/>
      <x:c r="H50" s="50" t="str"/>
      <x:c r="I50" s="44" t="str"/>
    </x:row>
    <x:row r="51" ht="38" customHeight="1">
      <x:c r="A51" s="30" t="str">
        <x:v>RT-048</x:v>
      </x:c>
      <x:c r="B51" s="44" t="str"/>
      <x:c r="C51" s="44" t="str"/>
      <x:c r="D51" s="44" t="str"/>
      <x:c r="E51" s="44" t="str"/>
      <x:c r="F51" s="44" t="str"/>
      <x:c r="G51" s="44" t="str"/>
      <x:c r="H51" s="50" t="str"/>
      <x:c r="I51" s="44" t="str"/>
    </x:row>
    <x:row r="52" ht="38" customHeight="1">
      <x:c r="A52" s="30" t="str">
        <x:v>RT-049</x:v>
      </x:c>
      <x:c r="B52" s="44" t="str"/>
      <x:c r="C52" s="44" t="str"/>
      <x:c r="D52" s="44" t="str"/>
      <x:c r="E52" s="44" t="str"/>
      <x:c r="F52" s="44" t="str"/>
      <x:c r="G52" s="44" t="str"/>
      <x:c r="H52" s="50" t="str"/>
      <x:c r="I52" s="44" t="str"/>
    </x:row>
    <x:row r="53" ht="38" customHeight="1">
      <x:c r="A53" s="30" t="str">
        <x:v>RT-050</x:v>
      </x:c>
      <x:c r="B53" s="44" t="str"/>
      <x:c r="C53" s="44" t="str"/>
      <x:c r="D53" s="44" t="str"/>
      <x:c r="E53" s="44" t="str"/>
      <x:c r="F53" s="44" t="str"/>
      <x:c r="G53" s="44" t="str"/>
      <x:c r="H53" s="50" t="str"/>
      <x:c r="I53" s="44" t="str"/>
    </x:row>
  </x:sheetData>
  <x:mergeCells>
    <x:mergeCell ref="A1:I1"/>
    <x:mergeCell ref="A2:I2"/>
  </x:mergeCells>
  <x:conditionalFormatting sqref="F4:F53">
    <x:cfRule type="expression" dxfId="9" priority="1">
      <x:formula>F4="P"</x:formula>
    </x:cfRule>
    <x:cfRule type="expression" dxfId="10" priority="2">
      <x:formula>F4="F"</x:formula>
    </x:cfRule>
  </x:conditionalFormatting>
  <x:dataValidations count="1">
    <x:dataValidation type="list" sqref="F4:F53">
      <x:formula1>"P,F,보류"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3de42bffb149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5" t="str">
        <x:v>6. 요약 &amp; 통계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02_테스트케이스와 03_결함목록 입력값을 수식으로 자동 집계합니다.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지표</x:v>
      </x:c>
      <x:c r="B4" s="22" t="str">
        <x:v>값</x:v>
      </x:c>
      <x:c r="C4" s="22" t="str">
        <x:v>지표</x:v>
      </x:c>
      <x:c r="D4" s="22" t="str">
        <x:v>값</x:v>
      </x:c>
    </x:row>
    <x:row r="5">
      <x:c r="A5" s="30" t="str">
        <x:v>총 테스트 케이스</x:v>
      </x:c>
      <x:c r="B5" s="58" t="n">
        <x:f>COUNTA('02_테스트케이스'!A4:A176)</x:f>
        <x:v>173</x:v>
      </x:c>
      <x:c r="C5" s="54" t="str">
        <x:v>Pass</x:v>
      </x:c>
      <x:c r="D5" s="58" t="n">
        <x:f>COUNTIF('02_테스트케이스'!L4:L176,"P")</x:f>
        <x:v>0</x:v>
      </x:c>
    </x:row>
    <x:row r="6">
      <x:c r="A6" s="30" t="str">
        <x:v>Fail</x:v>
      </x:c>
      <x:c r="B6" s="58" t="n">
        <x:f>COUNTIF('02_테스트케이스'!L4:L176,"F")</x:f>
        <x:v>0</x:v>
      </x:c>
      <x:c r="C6" s="54" t="str">
        <x:v>미실행/보류</x:v>
      </x:c>
      <x:c r="D6" s="58" t="n">
        <x:f>B5-D5-B6</x:f>
        <x:v>173</x:v>
      </x:c>
    </x:row>
    <x:row r="7">
      <x:c r="A7" s="30" t="str">
        <x:v>Pass율</x:v>
      </x:c>
      <x:c r="B7" s="59" t="n">
        <x:f>IF(B5=0,0,D5/B5)</x:f>
        <x:v>0</x:v>
      </x:c>
      <x:c r="C7" s="54" t="str">
        <x:v>미해결 Open 버그</x:v>
      </x:c>
      <x:c r="D7" s="58" t="n">
        <x:f>COUNTIF('03_결함목록'!G4:G53,"Open")</x:f>
        <x:v>0</x:v>
      </x:c>
    </x:row>
    <x:row r="8">
      <x:c r="A8" s="30" t="str">
        <x:v>Fixed 버그</x:v>
      </x:c>
      <x:c r="B8" s="58" t="n">
        <x:f>COUNTIF('03_결함목록'!G4:G53,"Fixed")</x:f>
        <x:v>0</x:v>
      </x:c>
      <x:c r="C8" s="54" t="str">
        <x:v>Closed 버그</x:v>
      </x:c>
      <x:c r="D8" s="58" t="n">
        <x:f>COUNTIF('03_결함목록'!G4:G53,"Closed")</x:f>
        <x:v>0</x:v>
      </x:c>
    </x:row>
    <x:row r="11">
      <x:c r="A11" s="22" t="str">
        <x:v>결과</x:v>
      </x:c>
      <x:c r="B11" s="22" t="str">
        <x:v>건수</x:v>
      </x:c>
      <x:c r="D11" s="22" t="str">
        <x:v>유형</x:v>
      </x:c>
      <x:c r="E11" s="22" t="str">
        <x:v>케이스 수</x:v>
      </x:c>
    </x:row>
    <x:row r="12">
      <x:c r="A12" s="30" t="str">
        <x:v>Pass</x:v>
      </x:c>
      <x:c r="B12" s="30" t="n">
        <x:f>D5</x:f>
        <x:v>0</x:v>
      </x:c>
      <x:c r="D12" s="30" t="str">
        <x:v>정상</x:v>
      </x:c>
      <x:c r="E12" s="30" t="n">
        <x:f>COUNTIF('02_테스트케이스'!D4:D176,"정상")</x:f>
        <x:v>66</x:v>
      </x:c>
    </x:row>
    <x:row r="13">
      <x:c r="A13" s="30" t="str">
        <x:v>Fail</x:v>
      </x:c>
      <x:c r="B13" s="30" t="n">
        <x:f>B6</x:f>
        <x:v>0</x:v>
      </x:c>
      <x:c r="D13" s="30" t="str">
        <x:v>입력오류</x:v>
      </x:c>
      <x:c r="E13" s="30" t="n">
        <x:f>COUNTIF('02_테스트케이스'!D4:D176,"입력오류")</x:f>
        <x:v>32</x:v>
      </x:c>
    </x:row>
    <x:row r="14">
      <x:c r="A14" s="30" t="str">
        <x:v>미실행/보류</x:v>
      </x:c>
      <x:c r="B14" s="30" t="n">
        <x:f>D6</x:f>
        <x:v>173</x:v>
      </x:c>
      <x:c r="D14" s="30" t="str">
        <x:v>인증</x:v>
      </x:c>
      <x:c r="E14" s="30" t="n">
        <x:f>COUNTIF('02_테스트케이스'!D4:D176,"인증")</x:f>
        <x:v>9</x:v>
      </x:c>
    </x:row>
    <x:row r="15">
      <x:c r="D15" s="30" t="str">
        <x:v>인가</x:v>
      </x:c>
      <x:c r="E15" s="30" t="n">
        <x:f>COUNTIF('02_테스트케이스'!D4:D176,"인가")</x:f>
        <x:v>14</x:v>
      </x:c>
    </x:row>
    <x:row r="16">
      <x:c r="D16" s="30" t="str">
        <x:v>소유권</x:v>
      </x:c>
      <x:c r="E16" s="30" t="n">
        <x:f>COUNTIF('02_테스트케이스'!D4:D176,"소유권")</x:f>
        <x:v>12</x:v>
      </x:c>
    </x:row>
    <x:row r="17">
      <x:c r="D17" s="30" t="str">
        <x:v>경계</x:v>
      </x:c>
      <x:c r="E17" s="30" t="n">
        <x:f>COUNTIF('02_테스트케이스'!D4:D176,"경계")</x:f>
        <x:v>30</x:v>
      </x:c>
    </x:row>
    <x:row r="18">
      <x:c r="D18" s="30" t="str">
        <x:v>데이터무결성</x:v>
      </x:c>
      <x:c r="E18" s="30" t="n">
        <x:f>COUNTIF('02_테스트케이스'!D4:D176,"데이터무결성")</x:f>
        <x:v>10</x:v>
      </x:c>
    </x:row>
    <x:row r="21">
      <x:c r="A21" s="22" t="str">
        <x:v>대분류</x:v>
      </x:c>
      <x:c r="B21" s="22" t="str">
        <x:v>총 케이스</x:v>
      </x:c>
      <x:c r="C21" s="22" t="str">
        <x:v>Fail</x:v>
      </x:c>
    </x:row>
    <x:row r="22">
      <x:c r="A22" s="30" t="str">
        <x:v>공지사항</x:v>
      </x:c>
      <x:c r="B22" s="30" t="n">
        <x:f>COUNTIF('02_테스트케이스'!B4:B176,A22)</x:f>
        <x:v>12</x:v>
      </x:c>
      <x:c r="C22" s="30" t="n">
        <x:f>COUNTIFS('02_테스트케이스'!B4:B176,A22,'02_테스트케이스'!L4:L176,"F")</x:f>
        <x:v>0</x:v>
      </x:c>
    </x:row>
    <x:row r="23">
      <x:c r="A23" s="30" t="str">
        <x:v>모임대화</x:v>
      </x:c>
      <x:c r="B23" s="30" t="n">
        <x:f>COUNTIF('02_테스트케이스'!B4:B176,A23)</x:f>
        <x:v>11</x:v>
      </x:c>
      <x:c r="C23" s="30" t="n">
        <x:f>COUNTIFS('02_테스트케이스'!B4:B176,A23,'02_테스트케이스'!L4:L176,"F")</x:f>
        <x:v>0</x:v>
      </x:c>
    </x:row>
    <x:row r="24">
      <x:c r="A24" s="30" t="str">
        <x:v>모집게시판</x:v>
      </x:c>
      <x:c r="B24" s="30" t="n">
        <x:f>COUNTIF('02_테스트케이스'!B4:B176,A24)</x:f>
        <x:v>19</x:v>
      </x:c>
      <x:c r="C24" s="30" t="n">
        <x:f>COUNTIFS('02_테스트케이스'!B4:B176,A24,'02_테스트케이스'!L4:L176,"F")</x:f>
        <x:v>0</x:v>
      </x:c>
    </x:row>
    <x:row r="25">
      <x:c r="A25" s="30" t="str">
        <x:v>문의게시판</x:v>
      </x:c>
      <x:c r="B25" s="30" t="n">
        <x:f>COUNTIF('02_테스트케이스'!B4:B176,A25)</x:f>
        <x:v>16</x:v>
      </x:c>
      <x:c r="C25" s="30" t="n">
        <x:f>COUNTIFS('02_테스트케이스'!B4:B176,A25,'02_테스트케이스'!L4:L176,"F")</x:f>
        <x:v>0</x:v>
      </x:c>
    </x:row>
    <x:row r="26">
      <x:c r="A26" s="30" t="str">
        <x:v>문의답변</x:v>
      </x:c>
      <x:c r="B26" s="30" t="n">
        <x:f>COUNTIF('02_테스트케이스'!B4:B176,A26)</x:f>
        <x:v>5</x:v>
      </x:c>
      <x:c r="C26" s="30" t="n">
        <x:f>COUNTIFS('02_테스트케이스'!B4:B176,A26,'02_테스트케이스'!L4:L176,"F")</x:f>
        <x:v>0</x:v>
      </x:c>
    </x:row>
    <x:row r="27">
      <x:c r="A27" s="30" t="str">
        <x:v>신고</x:v>
      </x:c>
      <x:c r="B27" s="30" t="n">
        <x:f>COUNTIF('02_테스트케이스'!B4:B176,A27)</x:f>
        <x:v>13</x:v>
      </x:c>
      <x:c r="C27" s="30" t="n">
        <x:f>COUNTIFS('02_테스트케이스'!B4:B176,A27,'02_테스트케이스'!L4:L176,"F")</x:f>
        <x:v>0</x:v>
      </x:c>
    </x:row>
    <x:row r="28">
      <x:c r="A28" s="30" t="str">
        <x:v>인증</x:v>
      </x:c>
      <x:c r="B28" s="30" t="n">
        <x:f>COUNTIF('02_테스트케이스'!B4:B176,A28)</x:f>
        <x:v>13</x:v>
      </x:c>
      <x:c r="C28" s="30" t="n">
        <x:f>COUNTIFS('02_테스트케이스'!B4:B176,A28,'02_테스트케이스'!L4:L176,"F")</x:f>
        <x:v>0</x:v>
      </x:c>
    </x:row>
    <x:row r="29">
      <x:c r="A29" s="30" t="str">
        <x:v>인증게시판</x:v>
      </x:c>
      <x:c r="B29" s="30" t="n">
        <x:f>COUNTIF('02_테스트케이스'!B4:B176,A29)</x:f>
        <x:v>18</x:v>
      </x:c>
      <x:c r="C29" s="30" t="n">
        <x:f>COUNTIFS('02_테스트케이스'!B4:B176,A29,'02_테스트케이스'!L4:L176,"F")</x:f>
        <x:v>0</x:v>
      </x:c>
    </x:row>
    <x:row r="30">
      <x:c r="A30" s="30" t="str">
        <x:v>참여요청</x:v>
      </x:c>
      <x:c r="B30" s="30" t="n">
        <x:f>COUNTIF('02_테스트케이스'!B4:B176,A30)</x:f>
        <x:v>16</x:v>
      </x:c>
      <x:c r="C30" s="30" t="n">
        <x:f>COUNTIFS('02_테스트케이스'!B4:B176,A30,'02_테스트케이스'!L4:L176,"F")</x:f>
        <x:v>0</x:v>
      </x:c>
    </x:row>
    <x:row r="31">
      <x:c r="A31" s="30" t="str">
        <x:v>탄소통계</x:v>
      </x:c>
      <x:c r="B31" s="30" t="n">
        <x:f>COUNTIF('02_테스트케이스'!B4:B176,A31)</x:f>
        <x:v>3</x:v>
      </x:c>
      <x:c r="C31" s="30" t="n">
        <x:f>COUNTIFS('02_테스트케이스'!B4:B176,A31,'02_테스트케이스'!L4:L176,"F")</x:f>
        <x:v>0</x:v>
      </x:c>
    </x:row>
    <x:row r="32">
      <x:c r="A32" s="30" t="str">
        <x:v>홈/통계</x:v>
      </x:c>
      <x:c r="B32" s="30" t="n">
        <x:f>COUNTIF('02_테스트케이스'!B4:B176,A32)</x:f>
        <x:v>1</x:v>
      </x:c>
      <x:c r="C32" s="30" t="n">
        <x:f>COUNTIFS('02_테스트케이스'!B4:B176,A32,'02_테스트케이스'!L4:L176,"F")</x:f>
        <x:v>0</x:v>
      </x:c>
    </x:row>
    <x:row r="33">
      <x:c r="A33" s="30" t="str">
        <x:v>환경센서</x:v>
      </x:c>
      <x:c r="B33" s="30" t="n">
        <x:f>COUNTIF('02_테스트케이스'!B4:B176,A33)</x:f>
        <x:v>5</x:v>
      </x:c>
      <x:c r="C33" s="30" t="n">
        <x:f>COUNTIFS('02_테스트케이스'!B4:B176,A33,'02_테스트케이스'!L4:L176,"F")</x:f>
        <x:v>0</x:v>
      </x:c>
    </x:row>
    <x:row r="34">
      <x:c r="A34" s="30" t="str">
        <x:v>회원</x:v>
      </x:c>
      <x:c r="B34" s="30" t="n">
        <x:f>COUNTIF('02_테스트케이스'!B4:B176,A34)</x:f>
        <x:v>15</x:v>
      </x:c>
      <x:c r="C34" s="30" t="n">
        <x:f>COUNTIFS('02_테스트케이스'!B4:B176,A34,'02_테스트케이스'!L4:L176,"F")</x:f>
        <x:v>0</x:v>
      </x:c>
    </x:row>
    <x:row r="35">
      <x:c r="A35" s="30" t="str">
        <x:v>후기게시판</x:v>
      </x:c>
      <x:c r="B35" s="30" t="n">
        <x:f>COUNTIF('02_테스트케이스'!B4:B176,A35)</x:f>
        <x:v>18</x:v>
      </x:c>
      <x:c r="C35" s="30" t="n">
        <x:f>COUNTIFS('02_테스트케이스'!B4:B176,A35,'02_테스트케이스'!L4:L176,"F")</x:f>
        <x:v>0</x:v>
      </x:c>
    </x:row>
    <x:row r="36">
      <x:c r="A36" s="30" t="str">
        <x:v>후기댓글</x:v>
      </x:c>
      <x:c r="B36" s="30" t="n">
        <x:f>COUNTIF('02_테스트케이스'!B4:B176,A36)</x:f>
        <x:v>8</x:v>
      </x:c>
      <x:c r="C36" s="30" t="n">
        <x:f>COUNTIFS('02_테스트케이스'!B4:B176,A36,'02_테스트케이스'!L4:L176,"F")</x:f>
        <x:v>0</x:v>
      </x:c>
    </x:row>
    <x:row r="39">
      <x:c r="A39" s="36" t="str">
        <x:v>알려진 제약 (Known Issues)</x:v>
      </x:c>
      <x:c r="B39" s="36"/>
      <x:c r="C39" s="36"/>
      <x:c r="D39" s="36"/>
      <x:c r="E39" s="36"/>
      <x:c r="F39" s="36"/>
      <x:c r="G39" s="36"/>
      <x:c r="H39" s="36"/>
    </x:row>
    <x:row r="40">
      <x:c r="A40" s="40" t="str">
        <x:v>시간상 수정하지 못했거나 의도적으로 범위 밖으로 둔 항목을 작성하세요. 예: 파일 확장자 서버 검증 미구현, 외부 배포 환경 미검증.</x:v>
      </x:c>
      <x:c r="B40" s="40"/>
      <x:c r="C40" s="40"/>
      <x:c r="D40" s="40"/>
      <x:c r="E40" s="40"/>
      <x:c r="F40" s="40"/>
      <x:c r="G40" s="40"/>
      <x:c r="H40" s="40"/>
    </x:row>
    <x:row r="41">
      <x:c r="A41" s="40"/>
      <x:c r="B41" s="40"/>
      <x:c r="C41" s="40"/>
      <x:c r="D41" s="40"/>
      <x:c r="E41" s="40"/>
      <x:c r="F41" s="40"/>
      <x:c r="G41" s="40"/>
      <x:c r="H41" s="40"/>
    </x:row>
    <x:row r="42">
      <x:c r="A42" s="40"/>
      <x:c r="B42" s="40"/>
      <x:c r="C42" s="40"/>
      <x:c r="D42" s="40"/>
      <x:c r="E42" s="40"/>
      <x:c r="F42" s="40"/>
      <x:c r="G42" s="40"/>
      <x:c r="H42" s="40"/>
    </x:row>
    <x:row r="44">
      <x:c r="A44" s="36" t="str">
        <x:v>종합 의견</x:v>
      </x:c>
      <x:c r="B44" s="36"/>
      <x:c r="C44" s="36"/>
      <x:c r="D44" s="36"/>
      <x:c r="E44" s="36"/>
      <x:c r="F44" s="36"/>
      <x:c r="G44" s="36"/>
      <x:c r="H44" s="36"/>
    </x:row>
    <x:row r="45">
      <x:c r="A45" s="40" t="str">
        <x:v>테스트 완료 후 발표/배포 가능 여부와 남은 리스크를 2~3줄로 작성하세요.</x:v>
      </x:c>
      <x:c r="B45" s="40"/>
      <x:c r="C45" s="40"/>
      <x:c r="D45" s="40"/>
      <x:c r="E45" s="40"/>
      <x:c r="F45" s="40"/>
      <x:c r="G45" s="40"/>
      <x:c r="H45" s="40"/>
    </x:row>
    <x:row r="46">
      <x:c r="A46" s="40"/>
      <x:c r="B46" s="40"/>
      <x:c r="C46" s="40"/>
      <x:c r="D46" s="40"/>
      <x:c r="E46" s="40"/>
      <x:c r="F46" s="40"/>
      <x:c r="G46" s="40"/>
      <x:c r="H46" s="40"/>
    </x:row>
    <x:row r="47">
      <x:c r="A47" s="40"/>
      <x:c r="B47" s="40"/>
      <x:c r="C47" s="40"/>
      <x:c r="D47" s="40"/>
      <x:c r="E47" s="40"/>
      <x:c r="F47" s="40"/>
      <x:c r="G47" s="40"/>
      <x:c r="H47" s="40"/>
    </x:row>
    <x:row r="48">
      <x:c r="A48" s="40"/>
      <x:c r="B48" s="40"/>
      <x:c r="C48" s="40"/>
      <x:c r="D48" s="40"/>
      <x:c r="E48" s="40"/>
      <x:c r="F48" s="40"/>
      <x:c r="G48" s="40"/>
      <x:c r="H48" s="40"/>
    </x:row>
  </x:sheetData>
  <x:mergeCells>
    <x:mergeCell ref="A1:H1"/>
    <x:mergeCell ref="A2:H2"/>
    <x:mergeCell ref="A39:H39"/>
    <x:mergeCell ref="A40:H42"/>
    <x:mergeCell ref="A44:H44"/>
    <x:mergeCell ref="A45:H48"/>
  </x:mergeCells>
  <x:pageMargins left="0.7" right="0.7" top="0.75" bottom="0.75" header="0.3" footer="0.3"/>
  <x:drawing xmlns:r="http://schemas.openxmlformats.org/officeDocument/2006/relationships" r:id="R5ac6e5a611464447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8" hidden="0" customWidth="1"/>
    <x:col min="5" max="5" width="24" hidden="0" customWidth="1"/>
    <x:col min="6" max="6" width="36" hidden="0" customWidth="1"/>
    <x:col min="7" max="7" width="30" hidden="0" customWidth="1"/>
  </x:cols>
  <x:sheetData>
    <x:row r="1" ht="34" customHeight="1">
      <x:c r="A1" s="5" t="str">
        <x:v>테스트 데이터 / 사전조건 준비표</x:v>
      </x:c>
      <x:c r="B1" s="5"/>
      <x:c r="C1" s="5"/>
      <x:c r="D1" s="5"/>
      <x:c r="E1" s="5"/>
      <x:c r="F1" s="5"/>
      <x:c r="G1" s="5"/>
    </x:row>
    <x:row r="2">
      <x:c r="A2" s="13" t="str">
        <x:v>비밀번호와 실제 PK는 공유 가능한 테스트 전용 값만 기록하세요. 운영/개인 계정은 사용하지 마세요.</x:v>
      </x:c>
      <x:c r="B2" s="13"/>
      <x:c r="C2" s="13"/>
      <x:c r="D2" s="13"/>
      <x:c r="E2" s="13"/>
      <x:c r="F2" s="13"/>
      <x:c r="G2" s="13"/>
    </x:row>
    <x:row r="3">
      <x:c r="A3" s="22" t="str">
        <x:v>구분</x:v>
      </x:c>
      <x:c r="B3" s="22" t="str">
        <x:v>데이터명</x:v>
      </x:c>
      <x:c r="C3" s="22" t="str">
        <x:v>용도</x:v>
      </x:c>
      <x:c r="D3" s="22" t="str">
        <x:v>예시/권장값</x:v>
      </x:c>
      <x:c r="E3" s="22" t="str">
        <x:v>실제 값</x:v>
      </x:c>
      <x:c r="F3" s="22" t="str">
        <x:v>준비 조건</x:v>
      </x:c>
      <x:c r="G3" s="22" t="str">
        <x:v>비고</x:v>
      </x:c>
    </x:row>
    <x:row r="4" ht="34" customHeight="1">
      <x:c r="A4" s="30" t="str">
        <x:v>계정</x:v>
      </x:c>
      <x:c r="B4" s="30" t="str">
        <x:v>관리자 계정</x:v>
      </x:c>
      <x:c r="C4" s="30" t="str">
        <x:v>공지/문의답변/신고 관리</x:v>
      </x:c>
      <x:c r="D4" s="30" t="str">
        <x:v>admin01 / ROLE_ADMIN</x:v>
      </x:c>
      <x:c r="E4" s="40" t="str"/>
      <x:c r="F4" s="30" t="str">
        <x:v>정상 로그인 가능</x:v>
      </x:c>
      <x:c r="G4" s="30" t="str"/>
    </x:row>
    <x:row r="5" ht="34" customHeight="1">
      <x:c r="A5" s="30" t="str">
        <x:v>계정</x:v>
      </x:c>
      <x:c r="B5" s="30" t="str">
        <x:v>사용자 A</x:v>
      </x:c>
      <x:c r="C5" s="30" t="str">
        <x:v>작성자/신청자 테스트</x:v>
      </x:c>
      <x:c r="D5" s="30" t="str">
        <x:v>userA / ROLE_USER</x:v>
      </x:c>
      <x:c r="E5" s="40" t="str"/>
      <x:c r="F5" s="30" t="str">
        <x:v>정상 로그인 가능</x:v>
      </x:c>
      <x:c r="G5" s="30" t="str"/>
    </x:row>
    <x:row r="6" ht="34" customHeight="1">
      <x:c r="A6" s="30" t="str">
        <x:v>계정</x:v>
      </x:c>
      <x:c r="B6" s="30" t="str">
        <x:v>사용자 B</x:v>
      </x:c>
      <x:c r="C6" s="30" t="str">
        <x:v>타인 소유권 테스트</x:v>
      </x:c>
      <x:c r="D6" s="30" t="str">
        <x:v>userB / ROLE_USER</x:v>
      </x:c>
      <x:c r="E6" s="40" t="str"/>
      <x:c r="F6" s="30" t="str">
        <x:v>정상 로그인 가능</x:v>
      </x:c>
      <x:c r="G6" s="30" t="str"/>
    </x:row>
    <x:row r="7" ht="34" customHeight="1">
      <x:c r="A7" s="30" t="str">
        <x:v>계정</x:v>
      </x:c>
      <x:c r="B7" s="30" t="str">
        <x:v>탈퇴 사용자</x:v>
      </x:c>
      <x:c r="C7" s="30" t="str">
        <x:v>로그인 차단 테스트</x:v>
      </x:c>
      <x:c r="D7" s="30" t="str">
        <x:v>deletedUser / DELETED='Y'</x:v>
      </x:c>
      <x:c r="E7" s="40" t="str"/>
      <x:c r="F7" s="30" t="str">
        <x:v>비밀번호 확인</x:v>
      </x:c>
      <x:c r="G7" s="30" t="str"/>
    </x:row>
    <x:row r="8" ht="34" customHeight="1">
      <x:c r="A8" s="30" t="str">
        <x:v>후기</x:v>
      </x:c>
      <x:c r="B8" s="30" t="str">
        <x:v>A의 정상 글</x:v>
      </x:c>
      <x:c r="C8" s="30" t="str">
        <x:v>작성/수정/삭제</x:v>
      </x:c>
      <x:c r="D8" s="30" t="str">
        <x:v>boardNo</x:v>
      </x:c>
      <x:c r="E8" s="40" t="str"/>
      <x:c r="F8" s="30" t="str">
        <x:v>첨부 2개 권장</x:v>
      </x:c>
      <x:c r="G8" s="30" t="str"/>
    </x:row>
    <x:row r="9" ht="34" customHeight="1">
      <x:c r="A9" s="30" t="str">
        <x:v>후기</x:v>
      </x:c>
      <x:c r="B9" s="30" t="str">
        <x:v>B의 정상 글</x:v>
      </x:c>
      <x:c r="C9" s="30" t="str">
        <x:v>타인 수정/삭제</x:v>
      </x:c>
      <x:c r="D9" s="30" t="str">
        <x:v>boardNo</x:v>
      </x:c>
      <x:c r="E9" s="40" t="str"/>
      <x:c r="F9" s="30" t="str">
        <x:v>DELETED='N'</x:v>
      </x:c>
      <x:c r="G9" s="30" t="str"/>
    </x:row>
    <x:row r="10" ht="34" customHeight="1">
      <x:c r="A10" s="30" t="str">
        <x:v>모집</x:v>
      </x:c>
      <x:c r="B10" s="30" t="str">
        <x:v>A가 모집한 여유 모임</x:v>
      </x:c>
      <x:c r="C10" s="30" t="str">
        <x:v>참여 신청/수락</x:v>
      </x:c>
      <x:c r="D10" s="30" t="str">
        <x:v>joinNo</x:v>
      </x:c>
      <x:c r="E10" s="40" t="str"/>
      <x:c r="F10" s="30" t="str">
        <x:v>participants &gt; currentCount</x:v>
      </x:c>
      <x:c r="G10" s="30" t="str"/>
    </x:row>
    <x:row r="11" ht="34" customHeight="1">
      <x:c r="A11" s="30" t="str">
        <x:v>모집</x:v>
      </x:c>
      <x:c r="B11" s="30" t="str">
        <x:v>정원 마감 모임</x:v>
      </x:c>
      <x:c r="C11" s="30" t="str">
        <x:v>마감 경계</x:v>
      </x:c>
      <x:c r="D11" s="30" t="str">
        <x:v>joinNo</x:v>
      </x:c>
      <x:c r="E11" s="40" t="str"/>
      <x:c r="F11" s="30" t="str">
        <x:v>participants = currentCount</x:v>
      </x:c>
      <x:c r="G11" s="30" t="str"/>
    </x:row>
    <x:row r="12" ht="34" customHeight="1">
      <x:c r="A12" s="30" t="str">
        <x:v>모집</x:v>
      </x:c>
      <x:c r="B12" s="30" t="str">
        <x:v>B가 모집한 모임</x:v>
      </x:c>
      <x:c r="C12" s="30" t="str">
        <x:v>타인 수정/삭제</x:v>
      </x:c>
      <x:c r="D12" s="30" t="str">
        <x:v>joinNo</x:v>
      </x:c>
      <x:c r="E12" s="40" t="str"/>
      <x:c r="F12" s="30" t="str">
        <x:v>첨부 1개 권장</x:v>
      </x:c>
      <x:c r="G12" s="30" t="str"/>
    </x:row>
    <x:row r="13" ht="34" customHeight="1">
      <x:c r="A13" s="30" t="str">
        <x:v>참여요청</x:v>
      </x:c>
      <x:c r="B13" s="30" t="str">
        <x:v>WAITING 요청</x:v>
      </x:c>
      <x:c r="C13" s="30" t="str">
        <x:v>수락/거절</x:v>
      </x:c>
      <x:c r="D13" s="30" t="str">
        <x:v>requestNo</x:v>
      </x:c>
      <x:c r="E13" s="40" t="str"/>
      <x:c r="F13" s="30" t="str">
        <x:v>host=A, requester=B</x:v>
      </x:c>
      <x:c r="G13" s="30" t="str"/>
    </x:row>
    <x:row r="14" ht="34" customHeight="1">
      <x:c r="A14" s="30" t="str">
        <x:v>참여요청</x:v>
      </x:c>
      <x:c r="B14" s="30" t="str">
        <x:v>ACCEPTED 요청</x:v>
      </x:c>
      <x:c r="C14" s="30" t="str">
        <x:v>채팅/취소 경계</x:v>
      </x:c>
      <x:c r="D14" s="30" t="str">
        <x:v>requestNo</x:v>
      </x:c>
      <x:c r="E14" s="40" t="str"/>
      <x:c r="F14" s="30" t="str">
        <x:v>A 또는 B가 참가자</x:v>
      </x:c>
      <x:c r="G14" s="30" t="str"/>
    </x:row>
    <x:row r="15" ht="34" customHeight="1">
      <x:c r="A15" s="30" t="str">
        <x:v>채팅</x:v>
      </x:c>
      <x:c r="B15" s="30" t="str">
        <x:v>A의 메시지</x:v>
      </x:c>
      <x:c r="C15" s="30" t="str">
        <x:v>정상 수정/삭제</x:v>
      </x:c>
      <x:c r="D15" s="30" t="str">
        <x:v>chatNo</x:v>
      </x:c>
      <x:c r="E15" s="40" t="str"/>
      <x:c r="F15" s="30" t="str">
        <x:v>모임1 소속</x:v>
      </x:c>
      <x:c r="G15" s="30" t="str"/>
    </x:row>
    <x:row r="16" ht="34" customHeight="1">
      <x:c r="A16" s="30" t="str">
        <x:v>채팅</x:v>
      </x:c>
      <x:c r="B16" s="30" t="str">
        <x:v>B의 메시지</x:v>
      </x:c>
      <x:c r="C16" s="30" t="str">
        <x:v>타인/교차 모임</x:v>
      </x:c>
      <x:c r="D16" s="30" t="str">
        <x:v>chatNo</x:v>
      </x:c>
      <x:c r="E16" s="40" t="str"/>
      <x:c r="F16" s="30" t="str">
        <x:v>모임2 소속도 추가</x:v>
      </x:c>
      <x:c r="G16" s="30" t="str"/>
    </x:row>
    <x:row r="17" ht="34" customHeight="1">
      <x:c r="A17" s="30" t="str">
        <x:v>인증</x:v>
      </x:c>
      <x:c r="B17" s="30" t="str">
        <x:v>A의 식목 인증</x:v>
      </x:c>
      <x:c r="C17" s="30" t="str">
        <x:v>수정/삭제/통계</x:v>
      </x:c>
      <x:c r="D17" s="30" t="str">
        <x:v>proofNo</x:v>
      </x:c>
      <x:c r="E17" s="40" t="str"/>
      <x:c r="F17" s="30" t="str">
        <x:v>PLANT, 파일 2장</x:v>
      </x:c>
      <x:c r="G17" s="30" t="str"/>
    </x:row>
    <x:row r="18" ht="34" customHeight="1">
      <x:c r="A18" s="30" t="str">
        <x:v>공지</x:v>
      </x:c>
      <x:c r="B18" s="30" t="str">
        <x:v>정상 공지</x:v>
      </x:c>
      <x:c r="C18" s="30" t="str">
        <x:v>관리자 수정/삭제</x:v>
      </x:c>
      <x:c r="D18" s="30" t="str">
        <x:v>noticeNo</x:v>
      </x:c>
      <x:c r="E18" s="40" t="str"/>
      <x:c r="F18" s="30" t="str">
        <x:v>첨부 2개 권장</x:v>
      </x:c>
      <x:c r="G18" s="30" t="str"/>
    </x:row>
    <x:row r="19" ht="34" customHeight="1">
      <x:c r="A19" s="30" t="str">
        <x:v>문의</x:v>
      </x:c>
      <x:c r="B19" s="30" t="str">
        <x:v>A의 WAITING 문의</x:v>
      </x:c>
      <x:c r="C19" s="30" t="str">
        <x:v>답변/삭제</x:v>
      </x:c>
      <x:c r="D19" s="30" t="str">
        <x:v>boardNo</x:v>
      </x:c>
      <x:c r="E19" s="40" t="str"/>
      <x:c r="F19" s="30" t="str">
        <x:v>DELETED='N'</x:v>
      </x:c>
      <x:c r="G19" s="30" t="str"/>
    </x:row>
    <x:row r="20" ht="34" customHeight="1">
      <x:c r="A20" s="30" t="str">
        <x:v>문의</x:v>
      </x:c>
      <x:c r="B20" s="30" t="str">
        <x:v>B의 비공개 문의</x:v>
      </x:c>
      <x:c r="C20" s="30" t="str">
        <x:v>타인 상세 접근</x:v>
      </x:c>
      <x:c r="D20" s="30" t="str">
        <x:v>boardNo</x:v>
      </x:c>
      <x:c r="E20" s="40" t="str"/>
      <x:c r="F20" s="30" t="str">
        <x:v>민감하지 않은 테스트 문구</x:v>
      </x:c>
      <x:c r="G20" s="30" t="str"/>
    </x:row>
    <x:row r="21" ht="34" customHeight="1">
      <x:c r="A21" s="30" t="str">
        <x:v>문의</x:v>
      </x:c>
      <x:c r="B21" s="30" t="str">
        <x:v>삭제 문의</x:v>
      </x:c>
      <x:c r="C21" s="30" t="str">
        <x:v>복구/상세 차단</x:v>
      </x:c>
      <x:c r="D21" s="30" t="str">
        <x:v>boardNo</x:v>
      </x:c>
      <x:c r="E21" s="40" t="str"/>
      <x:c r="F21" s="30" t="str">
        <x:v>DELETED='Y'</x:v>
      </x:c>
      <x:c r="G21" s="30" t="str"/>
    </x:row>
    <x:row r="22" ht="34" customHeight="1">
      <x:c r="A22" s="30" t="str">
        <x:v>신고</x:v>
      </x:c>
      <x:c r="B22" s="30" t="str">
        <x:v>미처리 신고</x:v>
      </x:c>
      <x:c r="C22" s="30" t="str">
        <x:v>처리완료</x:v>
      </x:c>
      <x:c r="D22" s="30" t="str">
        <x:v>reportNo</x:v>
      </x:c>
      <x:c r="E22" s="40" t="str"/>
      <x:c r="F22" s="30" t="str">
        <x:v>UPDATED='N'</x:v>
      </x:c>
      <x:c r="G22" s="30" t="str"/>
    </x:row>
    <x:row r="23" ht="34" customHeight="1">
      <x:c r="A23" s="30" t="str">
        <x:v>파일</x:v>
      </x:c>
      <x:c r="B23" s="30" t="str">
        <x:v>정상 이미지</x:v>
      </x:c>
      <x:c r="C23" s="30" t="str">
        <x:v>파일 테스트</x:v>
      </x:c>
      <x:c r="D23" s="30" t="str">
        <x:v>jpg/png 1MB 이하</x:v>
      </x:c>
      <x:c r="E23" s="40" t="str"/>
      <x:c r="F23" s="30" t="str">
        <x:v>동일 이미지 재사용 가능</x:v>
      </x:c>
      <x:c r="G23" s="30" t="str"/>
    </x:row>
    <x:row r="24" ht="34" customHeight="1">
      <x:c r="A24" s="30" t="str">
        <x:v>파일</x:v>
      </x:c>
      <x:c r="B24" s="30" t="str">
        <x:v>용량 초과</x:v>
      </x:c>
      <x:c r="C24" s="30" t="str">
        <x:v>413 테스트</x:v>
      </x:c>
      <x:c r="D24" s="30" t="str">
        <x:v>101MB 파일</x:v>
      </x:c>
      <x:c r="E24" s="40" t="str"/>
      <x:c r="F24" s="30" t="str">
        <x:v>요청 전체 100MB 초과</x:v>
      </x:c>
      <x:c r="G24" s="30" t="str"/>
    </x:row>
    <x:row r="25" ht="34" customHeight="1">
      <x:c r="A25" s="30" t="str">
        <x:v>파일</x:v>
      </x:c>
      <x:c r="B25" s="30" t="str">
        <x:v>비허용 확장자</x:v>
      </x:c>
      <x:c r="C25" s="30" t="str">
        <x:v>확장자 검증</x:v>
      </x:c>
      <x:c r="D25" s="30" t="str">
        <x:v>test.exe / test.html</x:v>
      </x:c>
      <x:c r="E25" s="40" t="str"/>
      <x:c r="F25" s="30" t="str">
        <x:v>안전한 더미 파일 사용</x:v>
      </x:c>
      <x:c r="G25" s="30" t="str"/>
    </x:row>
    <x:row r="26" ht="34" customHeight="1">
      <x:c r="A26" s="30" t="str">
        <x:v>센서</x:v>
      </x:c>
      <x:c r="B26" s="30" t="str">
        <x:v>24시간 내 데이터</x:v>
      </x:c>
      <x:c r="C26" s="30" t="str">
        <x:v>시간대 평균</x:v>
      </x:c>
      <x:c r="D26" s="30" t="str">
        <x:v>현재-23h ~ 현재</x:v>
      </x:c>
      <x:c r="E26" s="40" t="str"/>
      <x:c r="F26" s="30" t="str">
        <x:v>A01 구역 시간대별 1건 이상</x:v>
      </x:c>
      <x:c r="G26" s="30" t="str"/>
    </x:row>
    <x:row r="27" ht="34" customHeight="1">
      <x:c r="A27" s="30" t="str">
        <x:v>센서</x:v>
      </x:c>
      <x:c r="B27" s="30" t="str">
        <x:v>24시간 밖 데이터</x:v>
      </x:c>
      <x:c r="C27" s="30" t="str">
        <x:v>제외 확인</x:v>
      </x:c>
      <x:c r="D27" s="30" t="str">
        <x:v>현재-25h</x:v>
      </x:c>
      <x:c r="E27" s="40" t="str"/>
      <x:c r="F27" s="30" t="str">
        <x:v>조회 결과에 미포함</x:v>
      </x:c>
      <x:c r="G27" s="30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652ac9351aa4a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42" hidden="0" customWidth="1"/>
    <x:col min="8" max="8" width="13" hidden="0" customWidth="1"/>
  </x:cols>
  <x:sheetData>
    <x:row r="1" ht="34" customHeight="1">
      <x:c r="A1" s="5" t="str">
        <x:v>실행 우선순위가 높은 코드 기반 위험 후보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정적 코드 확인으로 발견한 '의심 지점'이며 실제 버그로 확정된 것이 아닙니다. 연결된 TC를 실행해 재현될 때만 03_결함목록에 등록하세요.</x:v>
      </x:c>
      <x:c r="B2" s="13"/>
      <x:c r="C2" s="13"/>
      <x:c r="D2" s="13"/>
      <x:c r="E2" s="13"/>
      <x:c r="F2" s="13"/>
      <x:c r="G2" s="13"/>
      <x:c r="H2" s="13"/>
    </x:row>
    <x:row r="3">
      <x:c r="A3" s="22" t="str">
        <x:v>RISK-ID</x:v>
      </x:c>
      <x:c r="B3" s="22" t="str">
        <x:v>관련 TC</x:v>
      </x:c>
      <x:c r="C3" s="22" t="str">
        <x:v>예상 심각도</x:v>
      </x:c>
      <x:c r="D3" s="22" t="str">
        <x:v>영역</x:v>
      </x:c>
      <x:c r="E3" s="22" t="str">
        <x:v>코드 경로</x:v>
      </x:c>
      <x:c r="F3" s="22" t="str">
        <x:v>정적 점검 내용</x:v>
      </x:c>
      <x:c r="G3" s="22" t="str">
        <x:v>확인 방법</x:v>
      </x:c>
      <x:c r="H3" s="22" t="str">
        <x:v>상태</x:v>
      </x:c>
    </x:row>
    <x:row r="4" ht="56" customHeight="1">
      <x:c r="A4" s="30" t="str">
        <x:v>RISK-01</x:v>
      </x:c>
      <x:c r="B4" s="30" t="str">
        <x:v>TC-009</x:v>
      </x:c>
      <x:c r="C4" s="30" t="str">
        <x:v>높음</x:v>
      </x:c>
      <x:c r="D4" s="30" t="str">
        <x:v>인증/토큰</x:v>
      </x:c>
      <x:c r="E4" s="30" t="str">
        <x:v>src/main/java/com/iso/plogues/token/model/service/TokenService.java</x:v>
      </x:c>
      <x:c r="F4" s="30" t="str">
        <x:v>findByToken 결과 null 여부를 확인하기 전에 token.getToken()을 호출함</x:v>
      </x:c>
      <x:c r="G4" s="30" t="str">
        <x:v>DB에 없는 refreshToken으로 요청하여 500/NPE 여부 확인</x:v>
      </x:c>
      <x:c r="H4" s="30" t="str">
        <x:v>미검증</x:v>
      </x:c>
    </x:row>
    <x:row r="5" ht="56" customHeight="1">
      <x:c r="A5" s="30" t="str">
        <x:v>RISK-02</x:v>
      </x:c>
      <x:c r="B5" s="30" t="str">
        <x:v>TC-069, TC-114</x:v>
      </x:c>
      <x:c r="C5" s="30" t="str">
        <x:v>높음</x:v>
      </x:c>
      <x:c r="D5" s="30" t="str">
        <x:v>모집글 수정</x:v>
      </x:c>
      <x:c r="E5" s="30" t="str">
        <x:v>src/main/java/com/iso/plogues/join/model/service/JoinService.java / JoinFileService.java</x:v>
      </x:c>
      <x:c r="F5" s="30" t="str">
        <x:v>수정 시 file이 null이어도 updateFile이 기존 파일 삭제 후 saveFile(null)를 호출할 가능성</x:v>
      </x:c>
      <x:c r="G5" s="30" t="str">
        <x:v>기존 첨부 글을 파일 없이 수정하고 DB/파일 유지 여부 확인</x:v>
      </x:c>
      <x:c r="H5" s="30" t="str">
        <x:v>미검증</x:v>
      </x:c>
    </x:row>
    <x:row r="6" ht="56" customHeight="1">
      <x:c r="A6" s="30" t="str">
        <x:v>RISK-03</x:v>
      </x:c>
      <x:c r="B6" s="30" t="str"/>
      <x:c r="C6" s="30" t="str">
        <x:v>높음</x:v>
      </x:c>
      <x:c r="D6" s="30" t="str">
        <x:v>모집글 수정</x:v>
      </x:c>
      <x:c r="E6" s="30" t="str">
        <x:v>src/main/java/com/iso/plogues/join/model/service/JoinService.java</x:v>
      </x:c>
      <x:c r="F6" s="30" t="str">
        <x:v>path joinNo가 아닌 join.getJoinNo()로 선조회함; multipart 본문에 joinNo가 없으면 오류 가능</x:v>
      </x:c>
      <x:c r="G6" s="30" t="str">
        <x:v>path와 body joinNo 포함/누락/불일치 조합 테스트</x:v>
      </x:c>
      <x:c r="H6" s="30" t="str">
        <x:v>미검증</x:v>
      </x:c>
    </x:row>
    <x:row r="7" ht="56" customHeight="1">
      <x:c r="A7" s="30" t="str">
        <x:v>RISK-04</x:v>
      </x:c>
      <x:c r="B7" s="30" t="str">
        <x:v>TC-096</x:v>
      </x:c>
      <x:c r="C7" s="30" t="str">
        <x:v>치명</x:v>
      </x:c>
      <x:c r="D7" s="30" t="str">
        <x:v>모임대화</x:v>
      </x:c>
      <x:c r="E7" s="30" t="str">
        <x:v>src/main/java/com/iso/plogues/join/chat/model/service/ChatService.java</x:v>
      </x:c>
      <x:c r="F7" s="30" t="str">
        <x:v>참여 여부만 검사하고 chat 작성자 소유권 검증이 없음</x:v>
      </x:c>
      <x:c r="G7" s="30" t="str">
        <x:v>같은 모임의 타인 chatNo를 수정</x:v>
      </x:c>
      <x:c r="H7" s="30" t="str">
        <x:v>미검증</x:v>
      </x:c>
    </x:row>
    <x:row r="8" ht="56" customHeight="1">
      <x:c r="A8" s="30" t="str">
        <x:v>RISK-05</x:v>
      </x:c>
      <x:c r="B8" s="30" t="str">
        <x:v>TC-099</x:v>
      </x:c>
      <x:c r="C8" s="30" t="str">
        <x:v>치명</x:v>
      </x:c>
      <x:c r="D8" s="30" t="str">
        <x:v>모임대화</x:v>
      </x:c>
      <x:c r="E8" s="30" t="str">
        <x:v>src/main/java/com/iso/plogues/join/chat/model/service/ChatService.java</x:v>
      </x:c>
      <x:c r="F8" s="30" t="str">
        <x:v>삭제도 chat 작성자 소유권 검증이 없음</x:v>
      </x:c>
      <x:c r="G8" s="30" t="str">
        <x:v>같은 모임의 타인 chatNo를 삭제</x:v>
      </x:c>
      <x:c r="H8" s="30" t="str">
        <x:v>미검증</x:v>
      </x:c>
    </x:row>
    <x:row r="9" ht="56" customHeight="1">
      <x:c r="A9" s="30" t="str">
        <x:v>RISK-06</x:v>
      </x:c>
      <x:c r="B9" s="30" t="str">
        <x:v>TC-097</x:v>
      </x:c>
      <x:c r="C9" s="30" t="str">
        <x:v>치명</x:v>
      </x:c>
      <x:c r="D9" s="30" t="str">
        <x:v>모임대화</x:v>
      </x:c>
      <x:c r="E9" s="30" t="str">
        <x:v>src/main/java/com/iso/plogues/join/chat/model/service/ChatService.java</x:v>
      </x:c>
      <x:c r="F9" s="30" t="str">
        <x:v>body joinNo와 path chatNo의 소속 모임 일치 검증이 없음</x:v>
      </x:c>
      <x:c r="G9" s="30" t="str">
        <x:v>모임1 참가자가 모임2 chatNo를 수정/삭제</x:v>
      </x:c>
      <x:c r="H9" s="30" t="str">
        <x:v>미검증</x:v>
      </x:c>
    </x:row>
    <x:row r="10" ht="56" customHeight="1">
      <x:c r="A10" s="30" t="str">
        <x:v>RISK-07</x:v>
      </x:c>
      <x:c r="B10" s="30" t="str">
        <x:v>TC-139</x:v>
      </x:c>
      <x:c r="C10" s="30" t="str">
        <x:v>높음</x:v>
      </x:c>
      <x:c r="D10" s="30" t="str">
        <x:v>문의 상세</x:v>
      </x:c>
      <x:c r="E10" s="30" t="str">
        <x:v>src/main/java/com/iso/plogues/question/model/service/QuestionService.java</x:v>
      </x:c>
      <x:c r="F10" s="30" t="str">
        <x:v>상세 조회 시 작성자 또는 관리자 권한 검증이 없음</x:v>
      </x:c>
      <x:c r="G10" s="30" t="str">
        <x:v>A 계정으로 B 문의 상세 URL 직접 호출</x:v>
      </x:c>
      <x:c r="H10" s="30" t="str">
        <x:v>미검증</x:v>
      </x:c>
    </x:row>
    <x:row r="11" ht="56" customHeight="1">
      <x:c r="A11" s="30" t="str">
        <x:v>RISK-08</x:v>
      </x:c>
      <x:c r="B11" s="30" t="str">
        <x:v>TC-137</x:v>
      </x:c>
      <x:c r="C11" s="30" t="str">
        <x:v>높음</x:v>
      </x:c>
      <x:c r="D11" s="30" t="str">
        <x:v>문의 페이징</x:v>
      </x:c>
      <x:c r="E11" s="30" t="str">
        <x:v>src/main/java/com/iso/plogues/question/model/service/QuestionService.java</x:v>
      </x:c>
      <x:c r="F11" s="30" t="str">
        <x:v>PageInfo는 음수를 1로 보정하지만 RowBounds offset은 원본 page로 계산</x:v>
      </x:c>
      <x:c r="G11" s="30" t="str">
        <x:v>page=-1 요청 시 음수 offset 오류/500 여부 확인</x:v>
      </x:c>
      <x:c r="H11" s="30" t="str">
        <x:v>미검증</x:v>
      </x:c>
    </x:row>
    <x:row r="12" ht="56" customHeight="1">
      <x:c r="A12" s="30" t="str">
        <x:v>RISK-09</x:v>
      </x:c>
      <x:c r="B12" s="30" t="str">
        <x:v>TC-168</x:v>
      </x:c>
      <x:c r="C12" s="30" t="str">
        <x:v>높음</x:v>
      </x:c>
      <x:c r="D12" s="30" t="str">
        <x:v>환경센서</x:v>
      </x:c>
      <x:c r="E12" s="30" t="str">
        <x:v>src/main/java/com/iso/plogues/tree/model/dto/TreeDto.java</x:v>
      </x:c>
      <x:c r="F12" s="30" t="str">
        <x:v>primitive double에 @NotNull을 사용하여 누락값이 0.0으로 바인딩될 수 있음</x:v>
      </x:c>
      <x:c r="G12" s="30" t="str">
        <x:v>각 수치 필드를 누락해 DB에 0 저장되는지 확인</x:v>
      </x:c>
      <x:c r="H12" s="30" t="str">
        <x:v>미검증</x:v>
      </x:c>
    </x:row>
    <x:row r="13" ht="56" customHeight="1">
      <x:c r="A13" s="30" t="str">
        <x:v>RISK-10</x:v>
      </x:c>
      <x:c r="B13" s="30" t="str">
        <x:v>TC-123</x:v>
      </x:c>
      <x:c r="C13" s="30" t="str">
        <x:v>높음</x:v>
      </x:c>
      <x:c r="D13" s="30" t="str">
        <x:v>공지사항</x:v>
      </x:c>
      <x:c r="E13" s="30" t="str">
        <x:v>src/main/java/com/iso/plogues/notice/model/dto/NoticeDto.java</x:v>
      </x:c>
      <x:c r="F13" s="30" t="str">
        <x:v>title/content/category 유효성 애노테이션이 없음</x:v>
      </x:c>
      <x:c r="G13" s="30" t="str">
        <x:v>각 필드를 공백으로 관리자 작성/수정</x:v>
      </x:c>
      <x:c r="H13" s="30" t="str">
        <x:v>미검증</x:v>
      </x:c>
    </x:row>
    <x:row r="14" ht="56" customHeight="1">
      <x:c r="A14" s="30" t="str">
        <x:v>RISK-11</x:v>
      </x:c>
      <x:c r="B14" s="30" t="str">
        <x:v>TC-048</x:v>
      </x:c>
      <x:c r="C14" s="30" t="str">
        <x:v>보통</x:v>
      </x:c>
      <x:c r="D14" s="30" t="str">
        <x:v>후기댓글</x:v>
      </x:c>
      <x:c r="E14" s="30" t="str">
        <x:v>src/main/java/com/iso/plogues/board/comment/model/dto/BoardCommentDto.java</x:v>
      </x:c>
      <x:c r="F14" s="30" t="str">
        <x:v>댓글 content 유효성 애노테이션이 없음</x:v>
      </x:c>
      <x:c r="G14" s="30" t="str">
        <x:v>빈 문자열 및 과도한 길이 댓글 작성</x:v>
      </x:c>
      <x:c r="H14" s="30" t="str">
        <x:v>미검증</x:v>
      </x:c>
    </x:row>
    <x:row r="15" ht="56" customHeight="1">
      <x:c r="A15" s="30" t="str">
        <x:v>RISK-12</x:v>
      </x:c>
      <x:c r="B15" s="30" t="str">
        <x:v>TC-024</x:v>
      </x:c>
      <x:c r="C15" s="30" t="str">
        <x:v>높음</x:v>
      </x:c>
      <x:c r="D15" s="30" t="str">
        <x:v>회원정보 수정</x:v>
      </x:c>
      <x:c r="E15" s="30" t="str">
        <x:v>src/main/java/com/iso/plogues/user/controller/UserController.java</x:v>
      </x:c>
      <x:c r="F15" s="30" t="str">
        <x:v>PATCH @ModelAttribute UserDto에 @Valid가 없음</x:v>
      </x:c>
      <x:c r="G15" s="30" t="str">
        <x:v>빈 이름·초과 길이 필드로 수정</x:v>
      </x:c>
      <x:c r="H15" s="30" t="str">
        <x:v>미검증</x:v>
      </x:c>
    </x:row>
    <x:row r="16" ht="56" customHeight="1">
      <x:c r="A16" s="30" t="str">
        <x:v>RISK-13</x:v>
      </x:c>
      <x:c r="B16" s="30" t="str">
        <x:v>TC-018</x:v>
      </x:c>
      <x:c r="C16" s="30" t="str">
        <x:v>보통</x:v>
      </x:c>
      <x:c r="D16" s="30" t="str">
        <x:v>회원가입</x:v>
      </x:c>
      <x:c r="E16" s="30" t="str">
        <x:v>src/main/java/com/iso/plogues/user/model/dto/UserDto.java</x:v>
      </x:c>
      <x:c r="F16" s="30" t="str">
        <x:v>이메일은 길이만, 전화번호는 숫자 패턴 검증이 없음</x:v>
      </x:c>
      <x:c r="G16" s="30" t="str">
        <x:v>잘못된 이메일과 문자 포함 전화번호 가입</x:v>
      </x:c>
      <x:c r="H16" s="30" t="str">
        <x:v>미검증</x:v>
      </x:c>
    </x:row>
    <x:row r="17" ht="56" customHeight="1">
      <x:c r="A17" s="30" t="str">
        <x:v>RISK-14</x:v>
      </x:c>
      <x:c r="B17" s="30" t="str">
        <x:v>TC-107</x:v>
      </x:c>
      <x:c r="C17" s="30" t="str">
        <x:v>높음</x:v>
      </x:c>
      <x:c r="D17" s="30" t="str">
        <x:v>인증 수량</x:v>
      </x:c>
      <x:c r="E17" s="30" t="str">
        <x:v>src/main/java/com/iso/plogues/proof/model/dto/ProofDto.java</x:v>
      </x:c>
      <x:c r="F17" s="30" t="str">
        <x:v>quantity에 @NotNull만 있고 양수 범위 검증이 없음</x:v>
      </x:c>
      <x:c r="G17" s="30" t="str">
        <x:v>0과 음수 수량으로 식목/플로깅 인증</x:v>
      </x:c>
      <x:c r="H17" s="30" t="str">
        <x:v>미검증</x:v>
      </x:c>
    </x:row>
    <x:row r="18" ht="56" customHeight="1">
      <x:c r="A18" s="30" t="str">
        <x:v>RISK-15</x:v>
      </x:c>
      <x:c r="B18" s="30" t="str">
        <x:v>TC-060</x:v>
      </x:c>
      <x:c r="C18" s="30" t="str">
        <x:v>높음</x:v>
      </x:c>
      <x:c r="D18" s="30" t="str">
        <x:v>모집글 입력</x:v>
      </x:c>
      <x:c r="E18" s="30" t="str">
        <x:v>src/main/java/com/iso/plogues/join/model/dto/JoinDto.java</x:v>
      </x:c>
      <x:c r="F18" s="30" t="str">
        <x:v>participants에 @Max(20)만 있고 @Min 없음; 날짜 순서 검증도 없음</x:v>
      </x:c>
      <x:c r="G18" s="30" t="str">
        <x:v>음수 인원과 역전 날짜로 등록</x:v>
      </x:c>
      <x:c r="H18" s="30" t="str">
        <x:v>미검증</x:v>
      </x:c>
    </x:row>
    <x:row r="19" ht="56" customHeight="1">
      <x:c r="A19" s="30" t="str">
        <x:v>RISK-16</x:v>
      </x:c>
      <x:c r="B19" s="30" t="str">
        <x:v>TC-140</x:v>
      </x:c>
      <x:c r="C19" s="30" t="str">
        <x:v>높음</x:v>
      </x:c>
      <x:c r="D19" s="30" t="str">
        <x:v>문의 삭제</x:v>
      </x:c>
      <x:c r="E19" s="30" t="str">
        <x:v>src/main/resources/mapper/question-mapper.xml</x:v>
      </x:c>
      <x:c r="F19" s="30" t="str">
        <x:v>findByOne 조회에 DELETED='N' 조건이 없음</x:v>
      </x:c>
      <x:c r="G19" s="30" t="str">
        <x:v>삭제 문의 번호로 상세 조회</x:v>
      </x:c>
      <x:c r="H19" s="30" t="str">
        <x:v>미검증</x:v>
      </x:c>
    </x:row>
    <x:row r="20" ht="56" customHeight="1">
      <x:c r="A20" s="30" t="str">
        <x:v>RISK-17</x:v>
      </x:c>
      <x:c r="B20" s="30" t="str">
        <x:v>TC-163</x:v>
      </x:c>
      <x:c r="C20" s="30" t="str">
        <x:v>낮음</x:v>
      </x:c>
      <x:c r="D20" s="30" t="str">
        <x:v>신고 처리</x:v>
      </x:c>
      <x:c r="E20" s="30" t="str">
        <x:v>src/main/java/com/iso/plogues/report/model/service/ReportService.java</x:v>
      </x:c>
      <x:c r="F20" s="30" t="str">
        <x:v>completeReport UPDATE 결과 건수를 확인하지 않아 없는/완료 건도 성공 응답 가능</x:v>
      </x:c>
      <x:c r="G20" s="30" t="str">
        <x:v>완료된 번호와 없는 번호로 PATCH</x:v>
      </x:c>
      <x:c r="H20" s="30" t="str">
        <x:v>미검증</x:v>
      </x:c>
    </x:row>
    <x:row r="21" ht="56" customHeight="1">
      <x:c r="A21" s="30" t="str">
        <x:v>RISK-18</x:v>
      </x:c>
      <x:c r="B21" s="30" t="str">
        <x:v>TC-142</x:v>
      </x:c>
      <x:c r="C21" s="30" t="str">
        <x:v>높음</x:v>
      </x:c>
      <x:c r="D21" s="30" t="str">
        <x:v>예외 응답</x:v>
      </x:c>
      <x:c r="E21" s="30" t="str">
        <x:v>src/main/java/com/iso/plogues/exception/GlobalExceptionHandler.java</x:v>
      </x:c>
      <x:c r="F21" s="30" t="str">
        <x:v>NotPermissionException 및 IllegalStateException 전용 핸들러가 없어 500 가능</x:v>
      </x:c>
      <x:c r="G21" s="30" t="str">
        <x:v>타인 문의 삭제·정상 글 복구 등 예외 상황의 HTTP 상태 확인</x:v>
      </x:c>
      <x:c r="H21" s="30" t="str">
        <x:v>미검증</x:v>
      </x:c>
    </x:row>
    <x:row r="22" ht="56" customHeight="1">
      <x:c r="A22" s="30" t="str">
        <x:v>RISK-19</x:v>
      </x:c>
      <x:c r="B22" s="30" t="str">
        <x:v>TC-087</x:v>
      </x:c>
      <x:c r="C22" s="30" t="str">
        <x:v>높음</x:v>
      </x:c>
      <x:c r="D22" s="30" t="str">
        <x:v>참여요청</x:v>
      </x:c>
      <x:c r="E22" s="30" t="str">
        <x:v>src/main/java/com/iso/plogues/join/request/model/service/RequestService.java</x:v>
      </x:c>
      <x:c r="F22" s="30" t="str">
        <x:v>취소 시 CANCELED만 검사하고 ACCEPTED/DENIED 상태 차단이 없음</x:v>
      </x:c>
      <x:c r="G22" s="30" t="str">
        <x:v>ACCEPTED 요청을 본인이 cancel 호출</x:v>
      </x:c>
      <x:c r="H22" s="30" t="str">
        <x:v>미검증</x:v>
      </x:c>
    </x:row>
    <x:row r="23" ht="56" customHeight="1">
      <x:c r="A23" s="30" t="str">
        <x:v>RISK-20</x:v>
      </x:c>
      <x:c r="B23" s="30" t="str">
        <x:v>TC-094</x:v>
      </x:c>
      <x:c r="C23" s="30" t="str">
        <x:v>보통</x:v>
      </x:c>
      <x:c r="D23" s="30" t="str">
        <x:v>모임대화</x:v>
      </x:c>
      <x:c r="E23" s="30" t="str">
        <x:v>src/main/java/com/iso/plogues/join/chat/model/service/ChatService.java</x:v>
      </x:c>
      <x:c r="F23" s="30" t="str">
        <x:v>빈 채팅 목록을 정상 빈 배열이 아닌 FailedFindAllException으로 처리</x:v>
      </x:c>
      <x:c r="G23" s="30" t="str">
        <x:v>승인된 모임의 첫 대화 조회</x:v>
      </x:c>
      <x:c r="H23" s="30" t="str">
        <x:v>미검증</x:v>
      </x:c>
    </x:row>
  </x:sheetData>
  <x:mergeCells>
    <x:mergeCell ref="A1:H1"/>
    <x:mergeCell ref="A2:H2"/>
  </x:mergeCells>
  <x:conditionalFormatting sqref="H4:H23">
    <x:cfRule type="expression" dxfId="11" priority="1">
      <x:formula>H4="재현됨"</x:formula>
    </x:cfRule>
    <x:cfRule type="expression" dxfId="12" priority="2">
      <x:formula>H4="재현 안 됨"</x:formula>
    </x:cfRule>
  </x:conditionalFormatting>
  <x:dataValidations count="2">
    <x:dataValidation type="list" sqref="C4:C23">
      <x:formula1>"치명,높음,보통,낮음"</x:formula1>
    </x:dataValidation>
    <x:dataValidation type="list" sqref="H4:H23">
      <x:formula1>"미검증,재현됨,재현 안 됨,수정됨"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d48defa041471d"/>
  </x:tableParts>
</x:worksheet>
</file>